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kpad\PycharmProjects\pymedeas2qc\pymedeas2\models\16sectors_qc\"/>
    </mc:Choice>
  </mc:AlternateContent>
  <xr:revisionPtr revIDLastSave="0" documentId="13_ncr:1_{3ED6838E-2CFA-4E36-8A44-A90DB17E373E}" xr6:coauthVersionLast="47" xr6:coauthVersionMax="47" xr10:uidLastSave="{00000000-0000-0000-0000-000000000000}"/>
  <bookViews>
    <workbookView xWindow="-28920" yWindow="-630" windowWidth="29040" windowHeight="16440" activeTab="4" xr2:uid="{00000000-000D-0000-FFFF-FFFF00000000}"/>
  </bookViews>
  <sheets>
    <sheet name="Global" sheetId="1" r:id="rId1"/>
    <sheet name="World" sheetId="2" r:id="rId2"/>
    <sheet name="Quebec untouched" sheetId="3" r:id="rId3"/>
    <sheet name="Europe" sheetId="4" r:id="rId4"/>
    <sheet name="max extraction tables" sheetId="5" r:id="rId5"/>
  </sheets>
  <definedNames>
    <definedName name="additional_land_available_biofuels">World!$A$201</definedName>
    <definedName name="adjust_energy_for_transport_to_inland_transport" localSheetId="3">Europe!$G$33</definedName>
    <definedName name="adjust_energy_for_transport_to_inland_transport" localSheetId="2">'Quebec untouched'!$G$33</definedName>
    <definedName name="adjust_energy_for_transport_to_inland_transport" localSheetId="1">World!$G$33</definedName>
    <definedName name="annual_shift_from_second_generation_to_third_generation" localSheetId="3">Europe!$C$70</definedName>
    <definedName name="annual_shift_from_second_generation_to_third_generation" localSheetId="2">'Quebec untouched'!$C$70</definedName>
    <definedName name="average_historic_primary_energy_supply_biogas" localSheetId="3">Europe!$Y$112</definedName>
    <definedName name="average_historic_primary_energy_supply_biogas" localSheetId="2">'Quebec untouched'!$Y$112</definedName>
    <definedName name="average_historic_primary_energy_supply_biogas" localSheetId="1">World!$Y$105</definedName>
    <definedName name="balancing_cost" localSheetId="0">Global!$B$26:$L$26</definedName>
    <definedName name="bioe_potential_npp_marginal_lands" localSheetId="3">Europe!$C$29</definedName>
    <definedName name="bioe_potential_npp_marginal_lands" localSheetId="2">'Quebec untouched'!$C$29</definedName>
    <definedName name="bioe_potential_npp_marginal_lands" localSheetId="1">World!$C$29</definedName>
    <definedName name="cell_efficiency_conversion_of_solar_pv" localSheetId="3">Europe!$C$75</definedName>
    <definedName name="cell_efficiency_conversion_of_solar_pv" localSheetId="2">'Quebec untouched'!$C$75</definedName>
    <definedName name="construction_time_nuclear" localSheetId="0">Global!$F$13</definedName>
    <definedName name="construction_time_res_elec" localSheetId="0">Global!$F$4:$F$11</definedName>
    <definedName name="conv_efficiency_from_npp_to_biofuels" localSheetId="0">Global!$C$45</definedName>
    <definedName name="cp_initial_nuclear" localSheetId="3">Europe!$C$13</definedName>
    <definedName name="cp_initial_nuclear" localSheetId="2">'Quebec untouched'!$C$13</definedName>
    <definedName name="cp_initial_nuclear" localSheetId="1">World!$C$13</definedName>
    <definedName name="cp_initial_res_elec" localSheetId="3">Europe!$C$4:$C$11</definedName>
    <definedName name="cp_initial_res_elec" localSheetId="2">'Quebec untouched'!$C$4:$C$11</definedName>
    <definedName name="cp_initial_res_elec" localSheetId="1">World!$C$4:$C$11</definedName>
    <definedName name="cp_initial_res_heat" localSheetId="3">Europe!$C$15:$C$17</definedName>
    <definedName name="cp_initial_res_heat" localSheetId="2">'Quebec untouched'!$C$15:$C$17</definedName>
    <definedName name="cp_initial_res_heat" localSheetId="1">World!$C$15:$C$17</definedName>
    <definedName name="cp_phs" localSheetId="3">Europe!$G$29</definedName>
    <definedName name="cp_phs" localSheetId="2">'Quebec untouched'!$G$29</definedName>
    <definedName name="cp_phs" localSheetId="1">World!$G$29</definedName>
    <definedName name="ctl_efficiency" localSheetId="0">Global!$C$32</definedName>
    <definedName name="cumulative_coal_extraction_until_1995" localSheetId="3">Europe!$G$83</definedName>
    <definedName name="cumulative_coal_extraction_until_1995" localSheetId="2">'Quebec untouched'!$G$83</definedName>
    <definedName name="cumulative_coal_extraction_until_1995" localSheetId="1">World!$G$76</definedName>
    <definedName name="cumulative_conventional_gas_extraction_until_1995" localSheetId="3">Europe!$G$81</definedName>
    <definedName name="cumulative_conventional_gas_extraction_until_1995" localSheetId="2">'Quebec untouched'!$G$81</definedName>
    <definedName name="cumulative_conventional_gas_extraction_until_1995" localSheetId="1">World!$G$74</definedName>
    <definedName name="cumulative_conventional_oil_extraction_until_1995" localSheetId="3">Europe!$G$79</definedName>
    <definedName name="cumulative_conventional_oil_extraction_until_1995" localSheetId="2">'Quebec untouched'!$G$79</definedName>
    <definedName name="cumulative_conventional_oil_extraction_until_1995" localSheetId="1">World!$G$72</definedName>
    <definedName name="cumulative_unconventional_gas_extraction_until_1995" localSheetId="3">Europe!$G$82</definedName>
    <definedName name="cumulative_unconventional_gas_extraction_until_1995" localSheetId="2">'Quebec untouched'!$G$82</definedName>
    <definedName name="cumulative_unconventional_gas_extraction_until_1995" localSheetId="1">World!$G$75</definedName>
    <definedName name="cumulative_unconventional_oil_extraction_until_1995" localSheetId="3">Europe!$G$80</definedName>
    <definedName name="cumulative_unconventional_oil_extraction_until_1995" localSheetId="2">'Quebec untouched'!$G$80</definedName>
    <definedName name="cumulative_unconventional_oil_extraction_until_1995" localSheetId="1">World!$G$73</definedName>
    <definedName name="cumulative_uranium_extraction_until_1995" localSheetId="3">Europe!$G$84</definedName>
    <definedName name="cumulative_uranium_extraction_until_1995" localSheetId="2">'Quebec untouched'!$G$84</definedName>
    <definedName name="cumulative_uranium_extraction_until_1995" localSheetId="1">World!$G$77</definedName>
    <definedName name="delta_years" localSheetId="3">Europe!$B$20:$K$20</definedName>
    <definedName name="delta_years" localSheetId="2">'Quebec untouched'!$B$20:$K$20</definedName>
    <definedName name="delta_years" localSheetId="1">World!$B$20:$P$20</definedName>
    <definedName name="efficiency_biogas_for_elec_in_chp_plants" localSheetId="3">Europe!$G$44</definedName>
    <definedName name="efficiency_biogas_for_elec_in_chp_plants" localSheetId="2">'Quebec untouched'!$G$44</definedName>
    <definedName name="efficiency_biogas_for_elec_in_chp_plants" localSheetId="1">World!$G$44</definedName>
    <definedName name="efficiency_biogas_for_elec_plants" localSheetId="3">Europe!$G$42</definedName>
    <definedName name="efficiency_biogas_for_elec_plants" localSheetId="2">'Quebec untouched'!$G$42</definedName>
    <definedName name="efficiency_biogas_for_elec_plants" localSheetId="1">World!$G$42</definedName>
    <definedName name="efficiency_biogas_for_heat_chp_plants" localSheetId="3">Europe!$G$43</definedName>
    <definedName name="efficiency_biogas_for_heat_chp_plants" localSheetId="2">'Quebec untouched'!$G$43</definedName>
    <definedName name="efficiency_biogas_for_heat_chp_plants" localSheetId="1">World!$G$43</definedName>
    <definedName name="efficiency_biogas_for_heat_plants" localSheetId="3">Europe!$G$41</definedName>
    <definedName name="efficiency_biogas_for_heat_plants" localSheetId="2">'Quebec untouched'!$G$41</definedName>
    <definedName name="efficiency_biogas_for_heat_plants" localSheetId="1">World!$G$41</definedName>
    <definedName name="efficiency_coal_for_electricity" localSheetId="3">Europe!$C$26</definedName>
    <definedName name="efficiency_coal_for_electricity" localSheetId="2">'Quebec untouched'!$C$26</definedName>
    <definedName name="efficiency_coal_for_electricity" localSheetId="1">World!$C$26</definedName>
    <definedName name="efficiency_conversion_bioe_plants_to_heat" localSheetId="0">Global!$C$30</definedName>
    <definedName name="efficiency_conversion_bioe_to_elec" localSheetId="0">Global!$C$31</definedName>
    <definedName name="efficiency_conversion_geot_pe_to_elec" localSheetId="0">Global!$C$29</definedName>
    <definedName name="efficiency_gas_for_oil_refinery_gains" localSheetId="0">Global!$C$34</definedName>
    <definedName name="efficiency_geothermal_for_heat" localSheetId="0">Global!$C$35</definedName>
    <definedName name="efficiency_improv_gas_for_electricity" localSheetId="0">Global!$C$36</definedName>
    <definedName name="efficiency_improvement_biofuels_third_generation" localSheetId="0">Global!$C$37</definedName>
    <definedName name="efficiency_liquids_for_electricity" localSheetId="3">Europe!$C$25</definedName>
    <definedName name="efficiency_liquids_for_electricity" localSheetId="2">'Quebec untouched'!$C$25</definedName>
    <definedName name="efficiency_liquids_for_electricity" localSheetId="1">World!$C$25</definedName>
    <definedName name="efficiency_solar_panels_for_heat" localSheetId="3">Europe!$G$27</definedName>
    <definedName name="efficiency_solar_panels_for_heat" localSheetId="2">'Quebec untouched'!$G$27</definedName>
    <definedName name="efficiency_solar_panels_for_heat" localSheetId="1">World!$G$27</definedName>
    <definedName name="efficiency_uranium_for_electricity" localSheetId="0">Global!$C$38</definedName>
    <definedName name="efficiency_waste_for_elec_chp_plants" localSheetId="3">Europe!$C$44</definedName>
    <definedName name="efficiency_waste_for_elec_chp_plants" localSheetId="2">'Quebec untouched'!$C$44</definedName>
    <definedName name="efficiency_waste_for_elec_chp_plants" localSheetId="1">World!$C$44</definedName>
    <definedName name="efficiency_waste_for_elec_plants" localSheetId="3">Europe!$C$42</definedName>
    <definedName name="efficiency_waste_for_elec_plants" localSheetId="2">'Quebec untouched'!$C$42</definedName>
    <definedName name="efficiency_waste_for_elec_plants" localSheetId="1">World!$C$42</definedName>
    <definedName name="efficiency_waste_for_heat_CHP_plants" localSheetId="3">Europe!$C$43</definedName>
    <definedName name="efficiency_waste_for_heat_CHP_plants" localSheetId="2">'Quebec untouched'!$C$43</definedName>
    <definedName name="efficiency_waste_for_heat_CHP_plants" localSheetId="1">World!$C$43</definedName>
    <definedName name="efficiency_waste_for_heat_plants" localSheetId="3">Europe!$C$41</definedName>
    <definedName name="efficiency_waste_for_heat_plants" localSheetId="2">'Quebec untouched'!$C$41</definedName>
    <definedName name="efficiency_waste_for_heat_plants" localSheetId="1">World!$C$41</definedName>
    <definedName name="end_hist_data" localSheetId="3">Europe!$C$114</definedName>
    <definedName name="end_hist_data" localSheetId="2">'Quebec untouched'!$C$114</definedName>
    <definedName name="end_hist_data" localSheetId="1">World!$C$107</definedName>
    <definedName name="eroi_initial_res_elec_dispatch" localSheetId="0">Global!$B$4:$B$11</definedName>
    <definedName name="esoi_phs_depleted_potential" localSheetId="0">Global!$G$30</definedName>
    <definedName name="geot_PE_potential_heat" localSheetId="3">Europe!$C$214</definedName>
    <definedName name="geot_PE_potential_heat" localSheetId="2">'Quebec untouched'!$C$211</definedName>
    <definedName name="Google_Sheet_Link_1004912124_1448750327" hidden="1">share_feh_over_fed_oil</definedName>
    <definedName name="Google_Sheet_Link_1006134162_550309872" hidden="1">historic_unconventional_oil_extraction</definedName>
    <definedName name="Google_Sheet_Link_1010416200_614600274" hidden="1">cumulative_conventional_oil_extraction_until_1995</definedName>
    <definedName name="Google_Sheet_Link_1022499426_550309872" hidden="1">initial_ctl_production</definedName>
    <definedName name="Google_Sheet_Link_1022860043_550309872" hidden="1">minimum_fraction_source</definedName>
    <definedName name="Google_Sheet_Link_1026812411_550309872" hidden="1">historic_share_commercial_heat_in_chp_on_total_commercial_heat_generation</definedName>
    <definedName name="Google_Sheet_Link_1029521403_1448750327" hidden="1">historic_growth_gtl</definedName>
    <definedName name="Google_Sheet_Link_1034443451_550309872" hidden="1">ratio_gain_gas_vs_losses_solids_in_tranformation_processes</definedName>
    <definedName name="Google_Sheet_Link_1041276709_1448750327" hidden="1">cumulative_conventional_gas_extraction_until_1995</definedName>
    <definedName name="Google_Sheet_Link_1041801448_614600274" hidden="1">historic_efficiency_electricity_gas_chp_plants</definedName>
    <definedName name="Google_Sheet_Link_1042242228_1448750327" hidden="1">historic_production_of_second_generation_biofuels</definedName>
    <definedName name="Google_Sheet_Link_1044177838_550309872" hidden="1">efficiency_biogas_for_elec_in_chp_plants</definedName>
    <definedName name="Google_Sheet_Link_1046566084_1136363060" hidden="1">planning_time_nuclear</definedName>
    <definedName name="Google_Sheet_Link_1049585579_1448750327" hidden="1">Europe!historic_share_commercial_heat_in_chp_on_total_commercial_heat_generation</definedName>
    <definedName name="Google_Sheet_Link_1058361663_550309872" hidden="1">max_extraction_agg_oil</definedName>
    <definedName name="Google_Sheet_Link_1058790507_550309872" hidden="1">RURR_conv_oil</definedName>
    <definedName name="Google_Sheet_Link_106358613_1448750327" hidden="1">RURR_unconv_oil</definedName>
    <definedName name="Google_Sheet_Link_106946856_614600274" hidden="1">historic_primary_energy_supply_of_waste</definedName>
    <definedName name="Google_Sheet_Link_1070744710_1448750327" hidden="1">pe_consumption_trad_biomass_ref</definedName>
    <definedName name="Google_Sheet_Link_1070822024_550309872" hidden="1">URR_agg_gas</definedName>
    <definedName name="Google_Sheet_Link_1071219774_614600274" hidden="1">Europe!max_extraction_agg_oil</definedName>
    <definedName name="Google_Sheet_Link_1073613423_550309872" hidden="1">cp_initial_res_heat</definedName>
    <definedName name="Google_Sheet_Link_1073856651_1136363060" hidden="1">minimum_lifetime_ev_batteries</definedName>
    <definedName name="Google_Sheet_Link_1080520124_1448750327" hidden="1">URR_coal</definedName>
    <definedName name="Google_Sheet_Link_1082042029_1136363060" hidden="1">efficiency_conversion_bioe_plants_to_heat</definedName>
    <definedName name="Google_Sheet_Link_1092738147_550309872" hidden="1">cumulative_coal_extraction_until_1995</definedName>
    <definedName name="Google_Sheet_Link_1098451871_614600274" hidden="1">Europe!ratio_gain_gas_vs_losses_solids_in_tranformation_processes</definedName>
    <definedName name="Google_Sheet_Link_1105463105_1448750327" hidden="1">Europe!initial_ctl_production</definedName>
    <definedName name="Google_Sheet_Link_1114886633_1448750327" hidden="1">land_occupation_ratio_of_solar_pv</definedName>
    <definedName name="Google_Sheet_Link_1116797877_1448750327" hidden="1">minimum_cp_baseload_res</definedName>
    <definedName name="Google_Sheet_Link_1118872718_614600274" hidden="1">Europe!historic_growth_gtl</definedName>
    <definedName name="Google_Sheet_Link_1119154494_1136363060" hidden="1">lifetime_gtl</definedName>
    <definedName name="Google_Sheet_Link_1120189808_614600274" hidden="1">historic_share_of_urban_pv_over_total</definedName>
    <definedName name="Google_Sheet_Link_1122405688_614600274" hidden="1">efficiency_waste_for_heat_CHP_plants</definedName>
    <definedName name="Google_Sheet_Link_11320024_550309872" hidden="1">share_pes_waste_for_chp</definedName>
    <definedName name="Google_Sheet_Link_113583926_1448750327" hidden="1">initial_gtl_production</definedName>
    <definedName name="Google_Sheet_Link_1140465198_1448750327" hidden="1">historic_share_of_transformation_losses_over_total_extraction_liquids</definedName>
    <definedName name="Google_Sheet_Link_1142867676_614600274" hidden="1">historic_installed_capacity_phs</definedName>
    <definedName name="Google_Sheet_Link_1143584530_614600274" hidden="1">cell_efficiency_conversion_of_solar_pv</definedName>
    <definedName name="Google_Sheet_Link_1146483998_1448750327" hidden="1">efficiency_biogas_for_heat_chp_plants</definedName>
    <definedName name="Google_Sheet_Link_1149936155_614600274" hidden="1">cp_phs</definedName>
    <definedName name="Google_Sheet_Link_1151648632_1448750327" hidden="1">efficiency_waste_for_elec_chp_plants</definedName>
    <definedName name="Google_Sheet_Link_1153270930_1448750327" hidden="1">cp_initial_res_elec</definedName>
    <definedName name="Google_Sheet_Link_1156837242_1448750327" hidden="1">Europe!RURR_conv_oil</definedName>
    <definedName name="Google_Sheet_Link_1158654908_614600274" hidden="1">URR_conv_gas</definedName>
    <definedName name="Google_Sheet_Link_1158993235_1448750327" hidden="1">historic_installed_capacity_res_for_electricity</definedName>
    <definedName name="Google_Sheet_Link_1163411755_1136363060" hidden="1">oil_refinery_gains_share</definedName>
    <definedName name="Google_Sheet_Link_1175546254_614600274" hidden="1">historic_share_of_liquids_in_heat_plants</definedName>
    <definedName name="Google_Sheet_Link_1184658182_550309872" hidden="1">max_extraction_uranium</definedName>
    <definedName name="Google_Sheet_Link_1185582066_614600274" hidden="1">historic_unconventional_gas_extraction</definedName>
    <definedName name="Google_Sheet_Link_1188382190_614600274" hidden="1">efficiency_solar_panels_for_heat</definedName>
    <definedName name="Google_Sheet_Link_1189257222_1448750327" hidden="1">efficiency_waste_for_elec_plants</definedName>
    <definedName name="Google_Sheet_Link_1190535519_614600274" hidden="1">historic_efficiency_gases_for_heat_plants</definedName>
    <definedName name="Google_Sheet_Link_1195807804_550309872" hidden="1">RURR_agg_oil</definedName>
    <definedName name="Google_Sheet_Link_1197404843_1448750327" hidden="1">share_pes_waste_tfc</definedName>
    <definedName name="Google_Sheet_Link_1202065115_614600274" hidden="1">historic_domestic_unconventional_natural_gas_extraction</definedName>
    <definedName name="Google_Sheet_Link_120425683_614600274" hidden="1">historic_average_domestic_uranium_extraction</definedName>
    <definedName name="Google_Sheet_Link_1204732209_614600274" hidden="1">max_yearly_change_between_sources</definedName>
    <definedName name="Google_Sheet_Link_1207523774_550309872" hidden="1">minimum_cp_nuclear</definedName>
    <definedName name="Google_Sheet_Link_1213507908_550309872" hidden="1">maximum_yearly_acceleration_of_intensity_improvement</definedName>
    <definedName name="Google_Sheet_Link_1215198579_1448750327" hidden="1">max_NPP_pot_bioe_res</definedName>
    <definedName name="Google_Sheet_Link_1217219608_550309872" hidden="1">historic_efficiency_gas_for_electricity</definedName>
    <definedName name="Google_Sheet_Link_1219372926_550309872" hidden="1">historic_share_losses_over_total_extraction_gases</definedName>
    <definedName name="Google_Sheet_Link_1226881641_1448750327" hidden="1">historic_res_capacity_for_heat_non_commercial</definedName>
    <definedName name="Google_Sheet_Link_1228607096_614600274" hidden="1">historic_primary_energy_supply_peat</definedName>
    <definedName name="Google_Sheet_Link_1230737803_614600274" hidden="1">Europe!share_pes_waste_for_chp</definedName>
    <definedName name="Google_Sheet_Link_1231861658_550309872" hidden="1">max_offshore_wind_potential</definedName>
    <definedName name="Google_Sheet_Link_1232856201_1136363060" hidden="1">sensitivity_scarcity_high</definedName>
    <definedName name="Google_Sheet_Link_1232989689_614600274" hidden="1">efficiency_coal_for_electricity</definedName>
    <definedName name="Google_Sheet_Link_1233970423_550309872" hidden="1">time_efficiencies</definedName>
    <definedName name="Google_Sheet_Link_1244532462_550309872" hidden="1">historic_share_chp_plants_gas</definedName>
    <definedName name="Google_Sheet_Link_1246116126_1448750327" hidden="1">Europe!historic_unconventional_oil_extraction</definedName>
    <definedName name="Google_Sheet_Link_1247228756_1448750327" hidden="1">historic_share_losses_over_total_extraction_liquids</definedName>
    <definedName name="Google_Sheet_Link_1247262092_614600274" hidden="1">historic_domestic_conventional_oil_extraction</definedName>
    <definedName name="Google_Sheet_Link_1249950837_614600274" hidden="1">max_pot_NPP_bioe_conv</definedName>
    <definedName name="Google_Sheet_Link_125103329_1448750327" hidden="1">Europe!max_extraction_uranium</definedName>
    <definedName name="Google_Sheet_Link_126327739_1448750327" hidden="1">share_heat_output_vs_electricity_in_nuclear</definedName>
    <definedName name="Google_Sheet_Link_1265496307_1136363060" hidden="1">lifetime_res_elec</definedName>
    <definedName name="Google_Sheet_Link_127746517_614600274" hidden="1">historic_share_chp_plants_oil</definedName>
    <definedName name="Google_Sheet_Link_1280221655_1448750327" hidden="1">cumulative_uranium_extraction_until_1995</definedName>
    <definedName name="Google_Sheet_Link_12843414_550309872" hidden="1">historic_growth_res_for_heat_com</definedName>
    <definedName name="Google_Sheet_Link_128596944_1448750327" hidden="1">Europe!URR_agg_gas</definedName>
    <definedName name="Google_Sheet_Link_1286989343_550309872" hidden="1">initial_primary_energy_supply_from_waste</definedName>
    <definedName name="Google_Sheet_Link_1294090177_550309872" hidden="1">max_onshore_wind_potential</definedName>
    <definedName name="Google_Sheet_Link_1297781408_614600274" hidden="1">Europe!share_feh_over_fed_oil</definedName>
    <definedName name="Google_Sheet_Link_1307952074_614600274" hidden="1">max_extraction_unconv_gas</definedName>
    <definedName name="Google_Sheet_Link_1309176693_1136363060" hidden="1">efficiency_geothermal_for_heat</definedName>
    <definedName name="Google_Sheet_Link_1312074140_614600274" hidden="1">historic_efficiency_liquids_heat_plants</definedName>
    <definedName name="Google_Sheet_Link_1312164600_1136363060" hidden="1">kw_per_battery_ev</definedName>
    <definedName name="Google_Sheet_Link_1312752191_614600274" hidden="1">initial_res_capacity_for_heat_non_commercial</definedName>
    <definedName name="Google_Sheet_Link_1313901558_1136363060" hidden="1">lifetime_ctl</definedName>
    <definedName name="Google_Sheet_Link_1315256065_614600274" hidden="1">URR_uranium</definedName>
    <definedName name="Google_Sheet_Link_1317534954_1136363060" hidden="1">land_occupation_ratio_biofuels_marginal_land</definedName>
    <definedName name="Google_Sheet_Link_1322955863_550309872" hidden="1">share_pes_biogas_tfc</definedName>
    <definedName name="Google_Sheet_Link_1323341543_1448750327" hidden="1">initial_production_of_second_generation_biofuels</definedName>
    <definedName name="Google_Sheet_Link_1324324996_550309872" hidden="1">URR_unconv_oil</definedName>
    <definedName name="Google_Sheet_Link_1324608459_614600274" hidden="1">Europe!maximum_yearly_acceleration_of_intensity_improvement</definedName>
    <definedName name="Google_Sheet_Link_1330600018_550309872" hidden="1">Europe!share_heat_output_vs_electricity_in_nuclear</definedName>
    <definedName name="Google_Sheet_Link_133427560_550309872" hidden="1">Europe!efficiency_biogas_for_heat_chp_plants</definedName>
    <definedName name="Google_Sheet_Link_1336300433_1136363060" hidden="1">round_trip_storage_efficiency_phs</definedName>
    <definedName name="Google_Sheet_Link_1342829734_1448750327" hidden="1">Europe!initial_primary_energy_supply_from_waste</definedName>
    <definedName name="Google_Sheet_Link_1352377720_1448750327" hidden="1">geot_PE_potential_heat</definedName>
    <definedName name="Google_Sheet_Link_1353595596_614600274" hidden="1">Europe!minimum_cp_baseload_res</definedName>
    <definedName name="Google_Sheet_Link_1362803601_550309872" hidden="1">max_extraction_agg_gas</definedName>
    <definedName name="Google_Sheet_Link_1369814743_550309872" hidden="1">initial_installed_capacity_phs</definedName>
    <definedName name="Google_Sheet_Link_1379377151_550309872" hidden="1">max_extraction_conv_gas</definedName>
    <definedName name="Google_Sheet_Link_1384492059_550309872" hidden="1">average_historic_primary_energy_supply_biogas</definedName>
    <definedName name="Google_Sheet_Link_1384591939_614600274" hidden="1">historic_efficiency_heat_gas_chp_plants</definedName>
    <definedName name="Google_Sheet_Link_1386197085_550309872" hidden="1">initial_efficiency_gas_for_electricity</definedName>
    <definedName name="Google_Sheet_Link_1388750055_1136363060" hidden="1">share_heat_distribution_losses</definedName>
    <definedName name="Google_Sheet_Link_1390130543_1448750327" hidden="1">historic_efficiency_heat_coal_chp_plants</definedName>
    <definedName name="Google_Sheet_Link_1395987502_550309872" hidden="1">RURR_uranium</definedName>
    <definedName name="Google_Sheet_Link_139990547_614600274" hidden="1">time_historic_data</definedName>
    <definedName name="Google_Sheet_Link_1408602669_614600274" hidden="1">Europe!max_extraction_conv_gas</definedName>
    <definedName name="Google_Sheet_Link_1418728605_614600274" hidden="1">Europe!max_extraction_uranium</definedName>
    <definedName name="Google_Sheet_Link_1422193290_1448750327" hidden="1">cp_initial_nuclear</definedName>
    <definedName name="Google_Sheet_Link_1425051355_550309872" hidden="1">historic_share_of_electricity_produced_from_oil_over_total_fossil_electricity</definedName>
    <definedName name="Google_Sheet_Link_1428220350_614600274" hidden="1">efficiency_waste_for_heat_plants</definedName>
    <definedName name="Google_Sheet_Link_142840652_614600274" hidden="1">URR_conv_oil</definedName>
    <definedName name="Google_Sheet_Link_1428965892_1136363060" hidden="1">round_trip_storage_efficiency_ev_batteries</definedName>
    <definedName name="Google_Sheet_Link_1429309526_1448750327" hidden="1">Europe!historic_share_chp_plants_gas</definedName>
    <definedName name="Google_Sheet_Link_1430010895_614600274" hidden="1">efficiency_biogas_for_heat_plants</definedName>
    <definedName name="Google_Sheet_Link_1431367073_1448750327" hidden="1">share_pes_waste_for_heat_plants</definedName>
    <definedName name="Google_Sheet_Link_1433496503_614600274" hidden="1">share_pes_biogas_for_heat_plants</definedName>
    <definedName name="Google_Sheet_Link_1434544234_550309872" hidden="1">Europe!initial_res_capacity_for_heat_non_commercial</definedName>
    <definedName name="Google_Sheet_Link_1436206534_550309872" hidden="1">Europe!historic_installed_capacity_res_for_electricity</definedName>
    <definedName name="Google_Sheet_Link_143702099_1448750327" hidden="1">historic_growth_res_for_electricity</definedName>
    <definedName name="Google_Sheet_Link_1441588914_550309872" hidden="1">historic_losses_charcoal_plants</definedName>
    <definedName name="Google_Sheet_Link_1447092837_550309872" hidden="1">URR_agg_oil</definedName>
    <definedName name="Google_Sheet_Link_1448077518_614600274" hidden="1">historic_domestic_unconventional_oil_extraction</definedName>
    <definedName name="Google_Sheet_Link_144829358_550309872" hidden="1">Europe!max_yearly_change_between_sources</definedName>
    <definedName name="Google_Sheet_Link_1450806133_614600274" hidden="1">share_of_electricity_produced_from_gas_over_electricity_produced_coal_and_gas_2014</definedName>
    <definedName name="Google_Sheet_Link_1456089395_1136363060" hidden="1">lifetime_nuclear</definedName>
    <definedName name="Google_Sheet_Link_145985827_1448750327" hidden="1">historic_energy_industry_own_use</definedName>
    <definedName name="Google_Sheet_Link_1460669975_550309872" hidden="1">historic_efficiency_electricity_liquids_chp_plants</definedName>
    <definedName name="Google_Sheet_Link_1461660853_614600274" hidden="1">Europe!historic_energy_industry_own_use</definedName>
    <definedName name="Google_Sheet_Link_1464809677_614600274" hidden="1">Europe!historic_res_capacity_for_heat_non_commercial</definedName>
    <definedName name="Google_Sheet_Link_1468055808_614600274" hidden="1">historic_efficiency_electricity_coal_chp_plants</definedName>
    <definedName name="Google_Sheet_Link_1470095698_1448750327" hidden="1">Europe!URR_unconv_oil</definedName>
    <definedName name="Google_Sheet_Link_1476808481_1136363060" hidden="1">replacement_rate_nuclear</definedName>
    <definedName name="Google_Sheet_Link_1479903039_550309872" hidden="1">Europe!share_of_electricity_produced_from_gas_over_electricity_produced_coal_and_gas_2014</definedName>
    <definedName name="Google_Sheet_Link_1480145741_614600274" hidden="1">historic_share_of_transformation_losses_over_total_extraction_solids</definedName>
    <definedName name="Google_Sheet_Link_1483154394_614600274" hidden="1">historic_ctl_production</definedName>
    <definedName name="Google_Sheet_Link_1484241929_614600274" hidden="1">max_extraction_conv_oil</definedName>
    <definedName name="Google_Sheet_Link_1484627892_550309872" hidden="1">share_pes_biogas_for_elec_plants</definedName>
    <definedName name="Google_Sheet_Link_1488761518_1448750327" hidden="1">Europe!efficiency_solar_panels_for_heat</definedName>
    <definedName name="Google_Sheet_Link_1489386512_1136363060" hidden="1">sensitivity_scarcity_low</definedName>
    <definedName name="Google_Sheet_Link_1489514036_614600274" hidden="1">Europe!minimum_fraction_source</definedName>
    <definedName name="Google_Sheet_Link_1491225112_550309872" hidden="1">initial_nuclear_generation</definedName>
    <definedName name="Google_Sheet_Link_1494347186_614600274" hidden="1">Europe!efficiency_waste_for_elec_plants</definedName>
    <definedName name="Google_Sheet_Link_1506605445_550309872" hidden="1">Europe!efficiency_waste_for_heat_CHP_plants</definedName>
    <definedName name="Google_Sheet_Link_1509156218_614600274" hidden="1">Europe!historic_growth_res_for_heat_com</definedName>
    <definedName name="Google_Sheet_Link_1512135536_1448750327" hidden="1">RURR_coal</definedName>
    <definedName name="Google_Sheet_Link_1513418963_550309872" hidden="1">Europe!efficiency_waste_for_elec_chp_plants</definedName>
    <definedName name="Google_Sheet_Link_1516024952_1448750327" hidden="1">Europe!cell_efficiency_conversion_of_solar_pv</definedName>
    <definedName name="Google_Sheet_Link_1522446170_614600274" hidden="1">Europe!land_occupation_ratio_of_solar_pv</definedName>
    <definedName name="Google_Sheet_Link_1528358732_550309872" hidden="1">historic_growth_res_for_heat_nc</definedName>
    <definedName name="Google_Sheet_Link_1530789722_614600274" hidden="1">share_pes_biogas_for_chp_plants</definedName>
    <definedName name="Google_Sheet_Link_1542382317_550309872" hidden="1">max_oceanic_potential</definedName>
    <definedName name="Google_Sheet_Link_1546479328_614600274" hidden="1">Europe!RURR_conv_oil</definedName>
    <definedName name="Google_Sheet_Link_1552690931_614600274" hidden="1">share_trad_biomass_vs_solids_in_households</definedName>
    <definedName name="Google_Sheet_Link_155411216_614600274" hidden="1">Europe!share_pes_waste_for_heat_plants</definedName>
    <definedName name="Google_Sheet_Link_1556113772_1448750327" hidden="1">RURR_unconv_gas</definedName>
    <definedName name="Google_Sheet_Link_155632762_1448750327" hidden="1">performance_ratio_over_the_plant_lifecycle_of_solar_pv</definedName>
    <definedName name="Google_Sheet_Link_1556883746_550309872" hidden="1">Europe!historic_unconventional_gas_extraction</definedName>
    <definedName name="Google_Sheet_Link_1562529154_550309872" hidden="1">Europe!historic_share_of_transformation_losses_over_total_extraction_liquids</definedName>
    <definedName name="Google_Sheet_Link_1568329491_1448750327" hidden="1">historic_domestic_natural_gas_extraction</definedName>
    <definedName name="Google_Sheet_Link_1569101269_614600274" hidden="1">Europe!efficiency_biogas_for_elec_in_chp_plants</definedName>
    <definedName name="Google_Sheet_Link_1572176628_614600274" hidden="1">Europe!historic_production_of_second_generation_biofuels</definedName>
    <definedName name="Google_Sheet_Link_1573243074_614600274" hidden="1">Europe!RURR_agg_oil</definedName>
    <definedName name="Google_Sheet_Link_1591030062_1136363060" hidden="1">esoi_phs_depleted_potential</definedName>
    <definedName name="Google_Sheet_Link_1593728997_550309872" hidden="1">Europe!historic_primary_energy_supply_of_waste</definedName>
    <definedName name="Google_Sheet_Link_1596155_1448750327" hidden="1">historic_share_of_electricity_produced_from_gas_over_electricity_produced_coal_and_gas</definedName>
    <definedName name="Google_Sheet_Link_1596519139_550309872" hidden="1">Europe!efficiency_waste_for_heat_plants</definedName>
    <definedName name="Google_Sheet_Link_1599583406_550309872" hidden="1">Europe!pe_consumption_trad_biomass_ref</definedName>
    <definedName name="Google_Sheet_Link_1601012502_1448750327" hidden="1">Europe!historic_share_of_electricity_produced_from_oil_over_total_fossil_electricity</definedName>
    <definedName name="Google_Sheet_Link_1607009459_550309872" hidden="1">Europe!share_trad_biomass_vs_solids_in_households</definedName>
    <definedName name="Google_Sheet_Link_1610284352_614600274" hidden="1">Europe!historic_share_chp_plants_gas</definedName>
    <definedName name="Google_Sheet_Link_1613437311_1448750327" hidden="1">Europe!cumulative_conventional_oil_extraction_until_1995</definedName>
    <definedName name="Google_Sheet_Link_1616343098_614600274" hidden="1">Europe!minimum_cp_nuclear</definedName>
    <definedName name="Google_Sheet_Link_1620797566_614600274" hidden="1">adjust_energy_for_transport_to_inland_transport</definedName>
    <definedName name="Google_Sheet_Link_1624715910_1448750327" hidden="1">historic_growth_ctl</definedName>
    <definedName name="Google_Sheet_Link_1634098539_614600274" hidden="1">Europe!efficiency_biogas_for_heat_chp_plants</definedName>
    <definedName name="Google_Sheet_Link_1636140096_1448750327" hidden="1">Europe!minimum_cp_nuclear</definedName>
    <definedName name="Google_Sheet_Link_1640519751_550309872" hidden="1">Europe!historic_efficiency_heat_coal_chp_plants</definedName>
    <definedName name="Google_Sheet_Link_1643076395_1136363060" hidden="1">gtl_efficiency</definedName>
    <definedName name="Google_Sheet_Link_1643712453_1448750327" hidden="1">historic_efficiency_heat_liquids_chp_plants</definedName>
    <definedName name="Google_Sheet_Link_1645999397_550309872" hidden="1">RURR_agg_gas</definedName>
    <definedName name="Google_Sheet_Link_1649467411_614600274" hidden="1">Europe!initial_installed_capacity_phs</definedName>
    <definedName name="Google_Sheet_Link_1652923049_550309872" hidden="1">start_production_biofuels</definedName>
    <definedName name="Google_Sheet_Link_165442458_1448750327" hidden="1">historic_share_losses_over_total_extraction_solids</definedName>
    <definedName name="Google_Sheet_Link_1663544219_1448750327" hidden="1">Europe!share_pes_waste_for_chp</definedName>
    <definedName name="Google_Sheet_Link_1669722548_1448750327" hidden="1">Europe!historic_share_chp_plants_oil</definedName>
    <definedName name="Google_Sheet_Link_1672685920_614600274" hidden="1">Europe!historic_share_commercial_heat_in_chp_on_total_commercial_heat_generation</definedName>
    <definedName name="Google_Sheet_Link_1674016347_614600274" hidden="1">Europe!geot_PE_potential_heat</definedName>
    <definedName name="Google_Sheet_Link_1678480796_550309872" hidden="1">max_waste_potential</definedName>
    <definedName name="Google_Sheet_Link_168230010_614600274" hidden="1">Europe!cp_initial_res_elec</definedName>
    <definedName name="Google_Sheet_Link_1691769587_1448750327" hidden="1">Europe!efficiency_biogas_for_elec_in_chp_plants</definedName>
    <definedName name="Google_Sheet_Link_169772979_1448750327" hidden="1">initial_installed_capacity_res_for_electricity</definedName>
    <definedName name="Google_Sheet_Link_1698156829_550309872" hidden="1">historic_growth_phs_capacity</definedName>
    <definedName name="Google_Sheet_Link_1698343172_1448750327" hidden="1">historic_domestic_coal_extraction</definedName>
    <definedName name="Google_Sheet_Link_1701900245_1136363060" hidden="1">eroi_initial_res_elec_dispatch</definedName>
    <definedName name="Google_Sheet_Link_1703608195_614600274" hidden="1">share_feh_over_fed_solids_bioe</definedName>
    <definedName name="Google_Sheet_Link_1710868813_1448750327" hidden="1">Europe!historic_share_of_transformation_losses_over_total_extraction_solids</definedName>
    <definedName name="Google_Sheet_Link_1713040784_550309872" hidden="1">historic_nuclear_generation</definedName>
    <definedName name="Google_Sheet_Link_1715599961_1448750327" hidden="1">Europe!URR_conv_gas</definedName>
    <definedName name="Google_Sheet_Link_1717821536_1448750327" hidden="1">Europe!share_of_electricity_produced_from_gas_over_electricity_produced_coal_and_gas_2014</definedName>
    <definedName name="Google_Sheet_Link_172596475_1136363060" hidden="1">land_productivity_biofuels_marginal_land</definedName>
    <definedName name="Google_Sheet_Link_1732545003_614600274" hidden="1">historic_non_energy_use</definedName>
    <definedName name="Google_Sheet_Link_1733381645_614600274" hidden="1">URR_unconv_gas</definedName>
    <definedName name="Google_Sheet_Link_1733964079_614600274" hidden="1">Europe!initial_primary_energy_supply_from_waste</definedName>
    <definedName name="Google_Sheet_Link_1735407192_614600274" hidden="1">Europe!historic_share_of_transformation_losses_over_total_extraction_liquids</definedName>
    <definedName name="Google_Sheet_Link_174049630_1448750327" hidden="1">Europe!historic_share_losses_over_total_extraction_gases</definedName>
    <definedName name="Google_Sheet_Link_174229805_550309872" hidden="1">Europe!share_pes_biogas_for_chp_plants</definedName>
    <definedName name="Google_Sheet_Link_1746152763_614600274" hidden="1">share_pes_waste_for_elec_plants</definedName>
    <definedName name="Google_Sheet_Link_1746799048_1448750327" hidden="1">Europe!RURR_agg_gas</definedName>
    <definedName name="Google_Sheet_Link_1754780318_1448750327" hidden="1">historic_share_of_heat_produced_from_gas_over_electricity_produced_coal_and_gas</definedName>
    <definedName name="Google_Sheet_Link_1755163809_550309872" hidden="1">efficiency_biogas_for_elec_plants</definedName>
    <definedName name="Google_Sheet_Link_1759404758_550309872" hidden="1">Europe!historic_installed_capacity_phs</definedName>
    <definedName name="Google_Sheet_Link_1760604864_550309872" hidden="1">Europe!historic_share_of_heat_produced_from_gas_over_electricity_produced_coal_and_gas</definedName>
    <definedName name="Google_Sheet_Link_1774664679_550309872" hidden="1">max_hydro_potential</definedName>
    <definedName name="Google_Sheet_Link_1783110945_614600274" hidden="1">max_PE_waste</definedName>
    <definedName name="Google_Sheet_Link_1784746435_614600274" hidden="1">max_PE_geot_elec_potential</definedName>
    <definedName name="Google_Sheet_Link_1789361718_1448750327" hidden="1">Europe!ratio_gain_gas_vs_losses_solids_in_tranformation_processes</definedName>
    <definedName name="Google_Sheet_Link_1791198543_550309872" hidden="1">max_solar_on_land_potential</definedName>
    <definedName name="Google_Sheet_Link_1797395059_550309872" hidden="1">historic_efficiency_coal_heat_plants</definedName>
    <definedName name="Google_Sheet_Link_1807843238_1448750327" hidden="1">share_of_electricity_produced_from_oil_over_total_fossil_electricity_2015</definedName>
    <definedName name="Google_Sheet_Link_1815514099_550309872" hidden="1">Europe!initial_production_of_second_generation_biofuels</definedName>
    <definedName name="Google_Sheet_Link_1822409366_1136363060" hidden="1">construction_time_res_elec</definedName>
    <definedName name="Google_Sheet_Link_182875822_1448750327" hidden="1">Europe!share_pes_biogas_for_heat_plants</definedName>
    <definedName name="Google_Sheet_Link_1833492760_1448750327" hidden="1">Europe!historic_primary_energy_supply_peat</definedName>
    <definedName name="Google_Sheet_Link_1833742331_614600274" hidden="1">Europe!URR_coal</definedName>
    <definedName name="Google_Sheet_Link_1835931456_550309872" hidden="1">Europe!URR_conv_oil</definedName>
    <definedName name="Google_Sheet_Link_1849338909_614600274" hidden="1">Europe!time_efficiencies</definedName>
    <definedName name="Google_Sheet_Link_1850002141_550309872" hidden="1">Europe!URR_coal</definedName>
    <definedName name="Google_Sheet_Link_1852109169_1448750327" hidden="1">Europe!share_pes_biogas_for_chp_plants</definedName>
    <definedName name="Google_Sheet_Link_1857286770_1448750327" hidden="1">Europe!cumulative_coal_extraction_until_1995</definedName>
    <definedName name="Google_Sheet_Link_1866223975_1448750327" hidden="1">Europe!efficiency_coal_for_electricity</definedName>
    <definedName name="Google_Sheet_Link_1877207066_550309872" hidden="1">Europe!initial_installed_capacity_res_for_electricity</definedName>
    <definedName name="Google_Sheet_Link_1877240305_614600274" hidden="1">Europe!historic_efficiency_electricity_liquids_chp_plants</definedName>
    <definedName name="Google_Sheet_Link_1878188653_1448750327" hidden="1">share_feh_over_fed_nat_gas</definedName>
    <definedName name="Google_Sheet_Link_1879390454_614600274" hidden="1">Europe!historic_domestic_natural_gas_extraction</definedName>
    <definedName name="Google_Sheet_Link_1884281638_1136363060" hidden="1">ctl_efficiency</definedName>
    <definedName name="Google_Sheet_Link_1887994091_550309872" hidden="1">Europe!historic_ctl_production</definedName>
    <definedName name="Google_Sheet_Link_1888997638_1448750327" hidden="1">Europe!average_historic_primary_energy_supply_biogas</definedName>
    <definedName name="Google_Sheet_Link_18951233_1448750327" hidden="1">Europe!max_extraction_agg_oil</definedName>
    <definedName name="Google_Sheet_Link_1900006201_614600274" hidden="1">Europe!average_historic_primary_energy_supply_biogas</definedName>
    <definedName name="Google_Sheet_Link_1909157923_1448750327" hidden="1">Europe!max_extraction_agg_gas</definedName>
    <definedName name="Google_Sheet_Link_1911556229_1448750327" hidden="1">Europe!historic_share_of_liquids_in_heat_plants</definedName>
    <definedName name="Google_Sheet_Link_1914389369_550309872" hidden="1">Europe!historic_energy_industry_own_use</definedName>
    <definedName name="Google_Sheet_Link_191509817_550309872" hidden="1">max_extraction_unconv_oil</definedName>
    <definedName name="Google_Sheet_Link_1917437443_550309872" hidden="1">Europe!share_feh_over_fed_oil</definedName>
    <definedName name="Google_Sheet_Link_1932358610_550309872" hidden="1">historic_growth_biofuels_second_generation</definedName>
    <definedName name="Google_Sheet_Link_1934360459_1136363060" hidden="1">losses_solar_for_heat</definedName>
    <definedName name="Google_Sheet_Link_1938009528_1448750327" hidden="1">Europe!max_hydro_potential</definedName>
    <definedName name="Google_Sheet_Link_1938817252_1448750327" hidden="1">Europe!historic_growth_phs_capacity</definedName>
    <definedName name="Google_Sheet_Link_1939360350_1448750327" hidden="1">Europe!historic_ctl_production</definedName>
    <definedName name="Google_Sheet_Link_1942760932_614600274" hidden="1">Europe!historic_domestic_coal_extraction</definedName>
    <definedName name="Google_Sheet_Link_194285147_614600274" hidden="1">Europe!max_extraction_agg_gas</definedName>
    <definedName name="Google_Sheet_Link_1943555221_550309872" hidden="1">historic_average_pes_from_waste_growth</definedName>
    <definedName name="Google_Sheet_Link_1943657472_550309872" hidden="1">Europe!historic_efficiency_gases_for_heat_plants</definedName>
    <definedName name="Google_Sheet_Link_1946682805_550309872" hidden="1">Europe!share_feh_over_fed_nat_gas</definedName>
    <definedName name="Google_Sheet_Link_1947455888_614600274" hidden="1">Europe!URR_unconv_oil</definedName>
    <definedName name="Google_Sheet_Link_19478442_550309872" hidden="1">historic_res_capacity_for_heat_commercial</definedName>
    <definedName name="Google_Sheet_Link_1948228389_1448750327" hidden="1">Europe!max_extraction_conv_gas</definedName>
    <definedName name="Google_Sheet_Link_1953398137_1448750327" hidden="1">Europe!maximum_yearly_acceleration_of_intensity_improvement</definedName>
    <definedName name="Google_Sheet_Link_1959725274_614600274" hidden="1">Europe!historic_growth_phs_capacity</definedName>
    <definedName name="Google_Sheet_Link_1960160906_550309872" hidden="1">cumulative_unconventional_oil_extraction_until_1995</definedName>
    <definedName name="Google_Sheet_Link_1960633771_614600274" hidden="1">Europe!historic_growth_res_for_electricity</definedName>
    <definedName name="Google_Sheet_Link_1965512494_1448750327" hidden="1">Europe!time_efficiencies</definedName>
    <definedName name="Google_Sheet_Link_1967395128_614600274" hidden="1">Europe!historic_share_of_electricity_produced_from_oil_over_total_fossil_electricity</definedName>
    <definedName name="Google_Sheet_Link_1968654661_1448750327" hidden="1">initial_non_energy_use</definedName>
    <definedName name="Google_Sheet_Link_1970958057_614600274" hidden="1">Europe!historic_unconventional_oil_extraction</definedName>
    <definedName name="Google_Sheet_Link_1982925618_1448750327" hidden="1">historic_pipeline_transport</definedName>
    <definedName name="Google_Sheet_Link_1986523187_550309872" hidden="1">Europe!historic_efficiency_heat_liquids_chp_plants</definedName>
    <definedName name="Google_Sheet_Link_1987991294_1448750327" hidden="1">Europe!historic_efficiency_coal_heat_plants</definedName>
    <definedName name="Google_Sheet_Link_1991251166_1448750327" hidden="1">Europe!RURR_uranium</definedName>
    <definedName name="Google_Sheet_Link_1992096518_550309872" hidden="1">Europe!historic_growth_res_for_electricity</definedName>
    <definedName name="Google_Sheet_Link_199327445_1136363060" hidden="1">efficiency_improv_gas_for_electricity</definedName>
    <definedName name="Google_Sheet_Link_1998286282_550309872" hidden="1">Europe!RURR_unconv_oil</definedName>
    <definedName name="Google_Sheet_Link_2004697854_550309872" hidden="1">Europe!efficiency_solar_panels_for_heat</definedName>
    <definedName name="Google_Sheet_Link_2004935398_614600274" hidden="1">max_PE_biogas</definedName>
    <definedName name="Google_Sheet_Link_2009516403_1448750327" hidden="1">Europe!historic_primary_energy_supply_of_waste</definedName>
    <definedName name="Google_Sheet_Link_2009644070_614600274" hidden="1">Europe!start_production_biofuels</definedName>
    <definedName name="Google_Sheet_Link_201188997_1448750327" hidden="1">bioe_potential_npp_marginal_lands</definedName>
    <definedName name="Google_Sheet_Link_201320562_1448750327" hidden="1">Europe!share_feh_over_fed_solids_bioe</definedName>
    <definedName name="Google_Sheet_Link_2014711084_550309872" hidden="1">Europe!historic_share_of_liquids_in_heat_plants</definedName>
    <definedName name="Google_Sheet_Link_2019471773_1448750327" hidden="1">Europe!URR_uranium</definedName>
    <definedName name="Google_Sheet_Link_2030444061_614600274" hidden="1">Europe!URR_agg_oil</definedName>
    <definedName name="Google_Sheet_Link_2036935483_1448750327" hidden="1">Europe!historic_installed_capacity_phs</definedName>
    <definedName name="Google_Sheet_Link_2038052918_1136363060" hidden="1">share_of_variable_res</definedName>
    <definedName name="Google_Sheet_Link_2056431813_550309872" hidden="1">Europe!historic_res_capacity_for_heat_non_commercial</definedName>
    <definedName name="Google_Sheet_Link_2057518485_614600274" hidden="1">historic_domestic_uranium_extraction</definedName>
    <definedName name="Google_Sheet_Link_2060143590_550309872" hidden="1">delta_years</definedName>
    <definedName name="Google_Sheet_Link_2061817217_614600274" hidden="1">Europe!max_extraction_unconv_oil</definedName>
    <definedName name="Google_Sheet_Link_206285829_1448750327" hidden="1">Europe!share_trad_biomass_vs_solids_in_households</definedName>
    <definedName name="Google_Sheet_Link_2063966187_1448750327" hidden="1">Europe!share_pes_biogas_for_elec_plants</definedName>
    <definedName name="Google_Sheet_Link_2066038093_1448750327" hidden="1">Europe!historic_res_capacity_for_heat_commercial</definedName>
    <definedName name="Google_Sheet_Link_2077043428_614600274" hidden="1">Europe!initial_production_of_second_generation_biofuels</definedName>
    <definedName name="Google_Sheet_Link_2078209366_614600274" hidden="1">Europe!RURR_agg_gas</definedName>
    <definedName name="Google_Sheet_Link_2079168895_1136363060" hidden="1">balancing_cost</definedName>
    <definedName name="Google_Sheet_Link_2084839783_550309872" hidden="1">Europe!URR_conv_gas</definedName>
    <definedName name="Google_Sheet_Link_2085599639_614600274" hidden="1">Europe!historic_average_pes_from_waste_growth</definedName>
    <definedName name="Google_Sheet_Link_2085899540_1448750327" hidden="1">Europe!historic_domestic_uranium_extraction</definedName>
    <definedName name="Google_Sheet_Link_2088626133_1448750327" hidden="1">Europe!minimum_fraction_source</definedName>
    <definedName name="Google_Sheet_Link_2094643879_614600274" hidden="1">Europe!max_oceanic_potential</definedName>
    <definedName name="Google_Sheet_Link_2096827325_1448750327" hidden="1">Europe!delta_years</definedName>
    <definedName name="Google_Sheet_Link_2100290609_1448750327" hidden="1">Europe!historic_unconventional_gas_extraction</definedName>
    <definedName name="Google_Sheet_Link_2106905432_550309872" hidden="1">Europe!URR_unconv_gas</definedName>
    <definedName name="Google_Sheet_Link_2109163595_1448750327" hidden="1">Europe!historic_domestic_unconventional_natural_gas_extraction</definedName>
    <definedName name="Google_Sheet_Link_2114617772_614600274" hidden="1">Europe!share_pes_biogas_tfc</definedName>
    <definedName name="Google_Sheet_Link_2115104282_614600274" hidden="1">end_hist_data</definedName>
    <definedName name="Google_Sheet_Link_2118030789_1448750327" hidden="1">Europe!max_extraction_unconv_gas</definedName>
    <definedName name="Google_Sheet_Link_212394055_550309872" hidden="1">share_unconv_vs_agg_oil_in_2050</definedName>
    <definedName name="Google_Sheet_Link_2124016693_550309872" hidden="1">RURR_conv_gas</definedName>
    <definedName name="Google_Sheet_Link_2124182436_550309872" hidden="1">Europe!bioe_potential_npp_marginal_lands</definedName>
    <definedName name="Google_Sheet_Link_212776820_1448750327" hidden="1">Europe!initial_nuclear_generation</definedName>
    <definedName name="Google_Sheet_Link_2131038535_614600274" hidden="1">Europe!share_pes_waste_tfc</definedName>
    <definedName name="Google_Sheet_Link_21437839_614600274" hidden="1">Europe!max_offshore_wind_potential</definedName>
    <definedName name="Google_Sheet_Link_215372369_1448750327" hidden="1">Europe!max_extraction_unconv_oil</definedName>
    <definedName name="Google_Sheet_Link_216069900_614600274" hidden="1">annual_shift_from_second_generation_to_third_generation</definedName>
    <definedName name="Google_Sheet_Link_217694580_614600274" hidden="1">Europe!historic_share_losses_over_total_extraction_gases</definedName>
    <definedName name="Google_Sheet_Link_230511050_1448750327" hidden="1">Europe!initial_installed_capacity_phs</definedName>
    <definedName name="Google_Sheet_Link_232490876_1136363060" hidden="1">invest_cost_nuclear</definedName>
    <definedName name="Google_Sheet_Link_240141044_1448750327" hidden="1">Europe!historic_share_of_urban_pv_over_total</definedName>
    <definedName name="Google_Sheet_Link_240344018_1448750327" hidden="1">Europe!URR_unconv_gas</definedName>
    <definedName name="Google_Sheet_Link_24493374_550309872" hidden="1">Europe!adjust_energy_for_transport_to_inland_transport</definedName>
    <definedName name="Google_Sheet_Link_261546382_550309872" hidden="1">efficiency_liquids_for_electricity</definedName>
    <definedName name="Google_Sheet_Link_272524255_550309872" hidden="1">Europe!historic_share_of_electricity_produced_from_gas_over_electricity_produced_coal_and_gas</definedName>
    <definedName name="Google_Sheet_Link_274913367_1448750327" hidden="1">Europe!efficiency_waste_for_heat_CHP_plants</definedName>
    <definedName name="Google_Sheet_Link_27971283_550309872" hidden="1">Europe!historic_efficiency_electricity_gas_chp_plants</definedName>
    <definedName name="Google_Sheet_Link_281621264_1448750327" hidden="1">Europe!max_PE_geot_elec_potential</definedName>
    <definedName name="Google_Sheet_Link_282801335_550309872" hidden="1">Europe!max_extraction_unconv_gas</definedName>
    <definedName name="Google_Sheet_Link_28623265_614600274" hidden="1">Europe!initial_non_energy_use</definedName>
    <definedName name="Google_Sheet_Link_296398310_550309872" hidden="1">Europe!max_pot_NPP_bioe_conv</definedName>
    <definedName name="Google_Sheet_Link_298321138_550309872" hidden="1">Europe!time_historic_data</definedName>
    <definedName name="Google_Sheet_Link_302802794_1448750327" hidden="1">Europe!efficiency_biogas_for_elec_plants</definedName>
    <definedName name="Google_Sheet_Link_313178178_1448750327" hidden="1">Europe!historic_efficiency_heat_gas_chp_plants</definedName>
    <definedName name="Google_Sheet_Link_313687220_550309872" hidden="1">Europe!cumulative_uranium_extraction_until_1995</definedName>
    <definedName name="Google_Sheet_Link_314190583_1136363060" hidden="1">efficiency_gas_for_oil_refinery_gains</definedName>
    <definedName name="Google_Sheet_Link_319659822_550309872" hidden="1">Europe!initial_non_energy_use</definedName>
    <definedName name="Google_Sheet_Link_329293199_1448750327" hidden="1">Europe!initial_efficiency_gas_for_electricity</definedName>
    <definedName name="Google_Sheet_Link_329772576_550309872" hidden="1">Europe!RURR_coal</definedName>
    <definedName name="Google_Sheet_Link_341956059_1448750327" hidden="1">Europe!share_pes_waste_for_elec_plants</definedName>
    <definedName name="Google_Sheet_Link_346386189_550309872" hidden="1">max_PHS_potential</definedName>
    <definedName name="Google_Sheet_Link_348478856_550309872" hidden="1">Europe!historic_non_energy_use</definedName>
    <definedName name="Google_Sheet_Link_350232766_614600274" hidden="1">Europe!share_of_electricity_produced_from_oil_over_total_fossil_electricity_2015</definedName>
    <definedName name="Google_Sheet_Link_354144849_550309872" hidden="1">Europe!historic_efficiency_liquids_heat_plants</definedName>
    <definedName name="Google_Sheet_Link_355401526_614600274" hidden="1">Europe!delta_years</definedName>
    <definedName name="Google_Sheet_Link_356192246_614600274" hidden="1">Europe!RURR_unconv_oil</definedName>
    <definedName name="Google_Sheet_Link_36903836_614600274" hidden="1">Europe!share_pes_biogas_for_elec_plants</definedName>
    <definedName name="Google_Sheet_Link_379416916_550309872" hidden="1">Europe!RURR_unconv_gas</definedName>
    <definedName name="Google_Sheet_Link_381527534_1448750327" hidden="1">historic_primary_energy_supply_biogas</definedName>
    <definedName name="Google_Sheet_Link_38210742_1136363060" hidden="1">replacement_rate_res_for_heat</definedName>
    <definedName name="Google_Sheet_Link_384391528_1136363060" hidden="1">invest_cost_res_elec</definedName>
    <definedName name="Google_Sheet_Link_38806867_1448750327" hidden="1">historic_gtl_production</definedName>
    <definedName name="Google_Sheet_Link_395440827_1448750327" hidden="1">Europe!share_unconv_vs_agg_oil_in_2050</definedName>
    <definedName name="Google_Sheet_Link_397161159_1448750327" hidden="1">Europe!historic_non_energy_use</definedName>
    <definedName name="Google_Sheet_Link_398038890_550309872" hidden="1">Europe!minimum_cp_baseload_res</definedName>
    <definedName name="Google_Sheet_Link_406248091_1448750327" hidden="1">Europe!max_PHS_potential</definedName>
    <definedName name="Google_Sheet_Link_40860664_550309872" hidden="1">max_PE_geot_elect_potential</definedName>
    <definedName name="Google_Sheet_Link_409457054_550309872" hidden="1">Europe!historic_share_losses_over_total_extraction_liquids</definedName>
    <definedName name="Google_Sheet_Link_409478029_1448750327" hidden="1">Europe!historic_efficiency_electricity_gas_chp_plants</definedName>
    <definedName name="Google_Sheet_Link_411208693_550309872" hidden="1">max_extraction_coal</definedName>
    <definedName name="Google_Sheet_Link_422751764_614600274" hidden="1">Europe!initial_installed_capacity_res_for_electricity</definedName>
    <definedName name="Google_Sheet_Link_427811345_614600274" hidden="1">Europe!historic_efficiency_gas_for_electricity</definedName>
    <definedName name="Google_Sheet_Link_429430468_1448750327" hidden="1">Europe!max_pot_NPP_bioe_conv</definedName>
    <definedName name="Google_Sheet_Link_431206503_550309872" hidden="1">Europe!historic_primary_energy_supply_biogas</definedName>
    <definedName name="Google_Sheet_Link_444432631_550309872" hidden="1">initial_res_capacity_for_heat_commercial</definedName>
    <definedName name="Google_Sheet_Link_450108177_550309872" hidden="1">max_biogases_potential</definedName>
    <definedName name="Google_Sheet_Link_450829516_550309872" hidden="1">share_unconv_vs_agg_gas_in_2050</definedName>
    <definedName name="Google_Sheet_Link_454824885_550309872" hidden="1">Europe!share_pes_waste_for_heat_plants</definedName>
    <definedName name="Google_Sheet_Link_458511556_614600274" hidden="1">Europe!historic_losses_charcoal_plants</definedName>
    <definedName name="Google_Sheet_Link_471080838_550309872" hidden="1">Europe!historic_share_losses_over_total_extraction_solids</definedName>
    <definedName name="Google_Sheet_Link_471142152_1136363060" hidden="1">net_stored_energy_ev_battery_over_lifetime</definedName>
    <definedName name="Google_Sheet_Link_472493652_1448750327" hidden="1">Europe!share_unconv_vs_agg_gas_in_2050</definedName>
    <definedName name="Google_Sheet_Link_47888919_614600274" hidden="1">Europe!cumulative_unconventional_oil_extraction_until_1995</definedName>
    <definedName name="Google_Sheet_Link_479162426_1136363060" hidden="1">sensitivity_scarcity_medium</definedName>
    <definedName name="Google_Sheet_Link_482455365_1448750327" hidden="1">Europe!historic_nuclear_generation</definedName>
    <definedName name="Google_Sheet_Link_482581073_1448750327" hidden="1">Europe!URR_agg_oil</definedName>
    <definedName name="Google_Sheet_Link_484174930_614600274" hidden="1">Europe!initial_gtl_production</definedName>
    <definedName name="Google_Sheet_Link_484469771_1448750327" hidden="1">Europe!historic_growth_res_for_heat_com</definedName>
    <definedName name="Google_Sheet_Link_487939618_1448750327" hidden="1">Europe!adjust_energy_for_transport_to_inland_transport</definedName>
    <definedName name="Google_Sheet_Link_492867864_614600274" hidden="1">Europe!historic_pipeline_transport</definedName>
    <definedName name="Google_Sheet_Link_500876693_614600274" hidden="1">Europe!historic_growth_ctl</definedName>
    <definedName name="Google_Sheet_Link_501764150_1136363060" hidden="1">maximum_efficiency_gas_power_plant</definedName>
    <definedName name="Google_Sheet_Link_511249193_614600274" hidden="1">Europe!max_NPP_pot_bioe_res</definedName>
    <definedName name="Google_Sheet_Link_513106795_1448750327" hidden="1">Europe!historic_efficiency_gases_for_heat_plants</definedName>
    <definedName name="Google_Sheet_Link_513893501_550309872" hidden="1">Europe!historic_efficiency_electricity_coal_chp_plants</definedName>
    <definedName name="Google_Sheet_Link_515312926_1448750327" hidden="1">Europe!historic_losses_charcoal_plants</definedName>
    <definedName name="Google_Sheet_Link_519310738_614600274" hidden="1">Europe!initial_efficiency_gas_for_electricity</definedName>
    <definedName name="Google_Sheet_Link_521195411_1136363060" hidden="1">planning_time_res_elec</definedName>
    <definedName name="Google_Sheet_Link_524046198_550309872" hidden="1">Europe!historic_production_of_second_generation_biofuels</definedName>
    <definedName name="Google_Sheet_Link_524559264_614600274" hidden="1">Europe!RURR_coal</definedName>
    <definedName name="Google_Sheet_Link_524728477_614600274" hidden="1">Europe!historic_share_of_electricity_produced_from_gas_over_electricity_produced_coal_and_gas</definedName>
    <definedName name="Google_Sheet_Link_529583066_1136363060" hidden="1">construction_time_nuclear</definedName>
    <definedName name="Google_Sheet_Link_529789014_614600274" hidden="1">Europe!historic_efficiency_heat_liquids_chp_plants</definedName>
    <definedName name="Google_Sheet_Link_532888301_614600274" hidden="1">Europe!historic_res_capacity_for_heat_commercial</definedName>
    <definedName name="Google_Sheet_Link_536950982_1448750327" hidden="1">Europe!historic_efficiency_liquids_heat_plants</definedName>
    <definedName name="Google_Sheet_Link_542124459_1136363060" hidden="1">power_density_res_elec</definedName>
    <definedName name="Google_Sheet_Link_552939695_1448750327" hidden="1">Europe!max_extraction_coal</definedName>
    <definedName name="Google_Sheet_Link_553069676_1448750327" hidden="1">Europe!RURR_conv_gas</definedName>
    <definedName name="Google_Sheet_Link_559416208_1448750327" hidden="1">Europe!efficiency_biogas_for_heat_plants</definedName>
    <definedName name="Google_Sheet_Link_564445287_1448750327" hidden="1">Europe!end_hist_data</definedName>
    <definedName name="Google_Sheet_Link_565066787_1448750327" hidden="1">Europe!share_pes_biogas_tfc</definedName>
    <definedName name="Google_Sheet_Link_565268219_1136363060" hidden="1">efficiency_conversion_bioe_to_elec</definedName>
    <definedName name="Google_Sheet_Link_569697440_1448750327" hidden="1">Europe!max_offshore_wind_potential</definedName>
    <definedName name="Google_Sheet_Link_57025151_614600274" hidden="1">Europe!RURR_unconv_gas</definedName>
    <definedName name="Google_Sheet_Link_573481147_614600274" hidden="1">Europe!cp_initial_nuclear</definedName>
    <definedName name="Google_Sheet_Link_574412433_1448750327" hidden="1">Europe!efficiency_liquids_for_electricity</definedName>
    <definedName name="Google_Sheet_Link_579734760_1448750327" hidden="1">Europe!max_yearly_change_between_sources</definedName>
    <definedName name="Google_Sheet_Link_584194153_1136363060" hidden="1">efficiency_improvement_biofuels_third_generation</definedName>
    <definedName name="Google_Sheet_Link_592012677_550309872" hidden="1">Europe!historic_efficiency_heat_gas_chp_plants</definedName>
    <definedName name="Google_Sheet_Link_594649506_614600274" hidden="1">Europe!share_heat_output_vs_electricity_in_nuclear</definedName>
    <definedName name="Google_Sheet_Link_6008937_1448750327" hidden="1">Europe!historic_efficiency_gas_for_electricity</definedName>
    <definedName name="Google_Sheet_Link_60386922_550309872" hidden="1">Europe!cp_initial_res_elec</definedName>
    <definedName name="Google_Sheet_Link_607270290_1448750327" hidden="1">Europe!cp_initial_res_heat</definedName>
    <definedName name="Google_Sheet_Link_607867141_550309872" hidden="1">Europe!max_NPP_pot_bioe_res</definedName>
    <definedName name="Google_Sheet_Link_612683178_614600274" hidden="1">Europe!share_unconv_vs_agg_oil_in_2050</definedName>
    <definedName name="Google_Sheet_Link_622008378_550309872" hidden="1">Europe!cp_initial_nuclear</definedName>
    <definedName name="Google_Sheet_Link_624057522_550309872" hidden="1">Europe!efficiency_biogas_for_heat_plants</definedName>
    <definedName name="Google_Sheet_Link_627460895_550309872" hidden="1">Europe!end_hist_data</definedName>
    <definedName name="Google_Sheet_Link_628465806_614600274" hidden="1">Europe!RURR_uranium</definedName>
    <definedName name="Google_Sheet_Link_633992314_1136363060" hidden="1">efficiency_conversion_geot_pe_to_elec</definedName>
    <definedName name="Google_Sheet_Link_639505011_614600274" hidden="1">Europe!historic_growth_biofuels_second_generation</definedName>
    <definedName name="Google_Sheet_Link_640192503_1136363060" hidden="1">share_transm_and_distribution_elec_losses_initial</definedName>
    <definedName name="Google_Sheet_Link_642547833_1448750327" hidden="1">cumulative_unconventional_gas_extraction_until_1995</definedName>
    <definedName name="Google_Sheet_Link_64861437_614600274" hidden="1">Europe!historic_primary_energy_supply_biogas</definedName>
    <definedName name="Google_Sheet_Link_6630324_550309872" hidden="1">Europe!share_feh_over_fed_solids_bioe</definedName>
    <definedName name="Google_Sheet_Link_66415251_550309872" hidden="1">Europe!historic_share_chp_plants_oil</definedName>
    <definedName name="Google_Sheet_Link_684180044_614600274" hidden="1">Europe!share_feh_over_fed_nat_gas</definedName>
    <definedName name="Google_Sheet_Link_689580964_1448750327" hidden="1">Europe!max_oceanic_potential</definedName>
    <definedName name="Google_Sheet_Link_69456793_1448750327" hidden="1">Europe!max_onshore_wind_potential</definedName>
    <definedName name="Google_Sheet_Link_696138516_614600274" hidden="1">Europe!max_PHS_potential</definedName>
    <definedName name="Google_Sheet_Link_697090796_550309872" hidden="1">Europe!historic_share_of_transformation_losses_over_total_extraction_solids</definedName>
    <definedName name="Google_Sheet_Link_702117959_1448750327" hidden="1">Europe!historic_growth_res_for_heat_nc</definedName>
    <definedName name="Google_Sheet_Link_70241983_614600274" hidden="1">Europe!share_unconv_vs_agg_gas_in_2050</definedName>
    <definedName name="Google_Sheet_Link_706053210_550309872" hidden="1">Europe!historic_primary_energy_supply_peat</definedName>
    <definedName name="Google_Sheet_Link_708687387_550309872" hidden="1">share_feh_over_fed_coal</definedName>
    <definedName name="Google_Sheet_Link_720287304_614600274" hidden="1">Europe!historic_installed_capacity_res_for_electricity</definedName>
    <definedName name="Google_Sheet_Link_721707197_614600274" hidden="1">Europe!max_onshore_wind_potential</definedName>
    <definedName name="Google_Sheet_Link_725627472_550309872" hidden="1">Europe!historic_growth_ctl</definedName>
    <definedName name="Google_Sheet_Link_726402840_614600274" hidden="1">Europe!cumulative_coal_extraction_until_1995</definedName>
    <definedName name="Google_Sheet_Link_730470988_614600274" hidden="1">Europe!share_feh_over_fed_coal</definedName>
    <definedName name="Google_Sheet_Link_732139533_614600274" hidden="1">Europe!RURR_conv_gas</definedName>
    <definedName name="Google_Sheet_Link_741355129_1448750327" hidden="1">Europe!time_historic_data</definedName>
    <definedName name="Google_Sheet_Link_743577442_614600274" hidden="1">Europe!historic_share_losses_over_total_extraction_solids</definedName>
    <definedName name="Google_Sheet_Link_751846349_1448750327" hidden="1">Europe!URR_conv_oil</definedName>
    <definedName name="Google_Sheet_Link_753020855_1448750327" hidden="1">Europe!historic_average_pes_from_waste_growth</definedName>
    <definedName name="Google_Sheet_Link_754981737_1448750327" hidden="1">Europe!start_production_biofuels</definedName>
    <definedName name="Google_Sheet_Link_755911520_1448750327" hidden="1">Europe!annual_shift_from_second_generation_to_third_generation</definedName>
    <definedName name="Google_Sheet_Link_762131872_550309872" hidden="1">Europe!cumulative_conventional_gas_extraction_until_1995</definedName>
    <definedName name="Google_Sheet_Link_76320240_1136363060" hidden="1">conv_efficiency_from_npp_to_biofuels</definedName>
    <definedName name="Google_Sheet_Link_771018208_1448750327" hidden="1">Europe!historic_efficiency_electricity_liquids_chp_plants</definedName>
    <definedName name="Google_Sheet_Link_77674835_614600274" hidden="1">Europe!historic_nuclear_generation</definedName>
    <definedName name="Google_Sheet_Link_779228124_1448750327" hidden="1">Europe!RURR_agg_oil</definedName>
    <definedName name="Google_Sheet_Link_779662517_550309872" hidden="1">Europe!efficiency_coal_for_electricity</definedName>
    <definedName name="Google_Sheet_Link_779844793_1448750327" hidden="1">Europe!max_extraction_conv_oil</definedName>
    <definedName name="Google_Sheet_Link_780842936_550309872" hidden="1">Europe!share_pes_waste_for_elec_plants</definedName>
    <definedName name="Google_Sheet_Link_785374180_614600274" hidden="1">Europe!efficiency_waste_for_elec_chp_plants</definedName>
    <definedName name="Google_Sheet_Link_786312551_614600274" hidden="1">Europe!performance_ratio_over_the_plant_lifecycle_of_solar_pv</definedName>
    <definedName name="Google_Sheet_Link_791780524_1448750327" hidden="1">Europe!historic_growth_biofuels_second_generation</definedName>
    <definedName name="Google_Sheet_Link_799487016_550309872" hidden="1">Europe!initial_gtl_production</definedName>
    <definedName name="Google_Sheet_Link_805621286_550309872" hidden="1">Europe!share_pes_waste_tfc</definedName>
    <definedName name="Google_Sheet_Link_806928117_614600274" hidden="1">Europe!cumulative_uranium_extraction_until_1995</definedName>
    <definedName name="Google_Sheet_Link_809449385_1448750327" hidden="1">Europe!initial_res_capacity_for_heat_commercial</definedName>
    <definedName name="Google_Sheet_Link_811484517_1448750327" hidden="1">Europe!initial_res_capacity_for_heat_non_commercial</definedName>
    <definedName name="Google_Sheet_Link_813113080_550309872" hidden="1">Europe!cp_phs</definedName>
    <definedName name="Google_Sheet_Link_817831998_1136363060" hidden="1">Time</definedName>
    <definedName name="Google_Sheet_Link_829824458_550309872" hidden="1">Europe!efficiency_waste_for_elec_plants</definedName>
    <definedName name="Google_Sheet_Link_837466711_614600274" hidden="1">Europe!pe_consumption_trad_biomass_ref</definedName>
    <definedName name="Google_Sheet_Link_849105499_614600274" hidden="1">Europe!historic_efficiency_coal_heat_plants</definedName>
    <definedName name="Google_Sheet_Link_853831449_550309872" hidden="1">Europe!max_extraction_conv_oil</definedName>
    <definedName name="Google_Sheet_Link_860503268_614600274" hidden="1">Europe!historic_share_of_heat_produced_from_gas_over_electricity_produced_coal_and_gas</definedName>
    <definedName name="Google_Sheet_Link_865469931_1136363060" hidden="1">grid_reinforcement_costs</definedName>
    <definedName name="Google_Sheet_Link_866688301_614600274" hidden="1">Europe!URR_agg_gas</definedName>
    <definedName name="Google_Sheet_Link_868033055_614600274" hidden="1">Europe!cp_initial_res_heat</definedName>
    <definedName name="Google_Sheet_Link_873851304_614600274" hidden="1">Europe!historic_gtl_production</definedName>
    <definedName name="Google_Sheet_Link_877094538_614600274" hidden="1">Europe!initial_nuclear_generation</definedName>
    <definedName name="Google_Sheet_Link_880468029_550309872" hidden="1">Europe!URR_uranium</definedName>
    <definedName name="Google_Sheet_Link_882505847_550309872" hidden="1">Europe!share_of_electricity_produced_from_oil_over_total_fossil_electricity_2015</definedName>
    <definedName name="Google_Sheet_Link_882626256_1136363060" hidden="1">efficiency_uranium_for_electricity</definedName>
    <definedName name="Google_Sheet_Link_89245717_1448750327" hidden="1">Europe!historic_domestic_unconventional_oil_extraction</definedName>
    <definedName name="Google_Sheet_Link_899277507_1448750327" hidden="1">Europe!max_PE_biogas</definedName>
    <definedName name="Google_Sheet_Link_900127986_1448750327" hidden="1">Europe!cumulative_unconventional_oil_extraction_until_1995</definedName>
    <definedName name="Google_Sheet_Link_900383598_1136363060" hidden="1">land_productivity_biofuels_second_generation</definedName>
    <definedName name="Google_Sheet_Link_901362927_614600274" hidden="1">Europe!initial_res_capacity_for_heat_commercial</definedName>
    <definedName name="Google_Sheet_Link_90635331_1448750327" hidden="1">Europe!share_feh_over_fed_coal</definedName>
    <definedName name="Google_Sheet_Link_909071582_1448750327" hidden="1">Europe!historic_domestic_conventional_oil_extraction</definedName>
    <definedName name="Google_Sheet_Link_910277865_550309872" hidden="1">Europe!cumulative_conventional_oil_extraction_until_1995</definedName>
    <definedName name="Google_Sheet_Link_916875387_550309872" hidden="1">Europe!historic_gtl_production</definedName>
    <definedName name="Google_Sheet_Link_921360074_614600274" hidden="1">Europe!cumulative_unconventional_gas_extraction_until_1995</definedName>
    <definedName name="Google_Sheet_Link_924478927_550309872" hidden="1">Europe!share_pes_biogas_for_heat_plants</definedName>
    <definedName name="Google_Sheet_Link_927187830_1448750327" hidden="1">Europe!historic_efficiency_electricity_coal_chp_plants</definedName>
    <definedName name="Google_Sheet_Link_928060839_550309872" hidden="1">Europe!historic_growth_gtl</definedName>
    <definedName name="Google_Sheet_Link_931868051_1136363060" hidden="1">lifetime_res_for_heat</definedName>
    <definedName name="Google_Sheet_Link_933058248_1448750327" hidden="1">Europe!cp_phs</definedName>
    <definedName name="Google_Sheet_Link_945451510_614600274" hidden="1">Europe!efficiency_biogas_for_elec_plants</definedName>
    <definedName name="Google_Sheet_Link_953030179_614600274" hidden="1">Europe!bioe_potential_npp_marginal_lands</definedName>
    <definedName name="Google_Sheet_Link_957808162_614600274" hidden="1">Europe!max_extraction_coal</definedName>
    <definedName name="Google_Sheet_Link_962213244_614600274" hidden="1">Europe!historic_share_losses_over_total_extraction_liquids</definedName>
    <definedName name="Google_Sheet_Link_96326899_1448750327" hidden="1">Europe!efficiency_waste_for_heat_plants</definedName>
    <definedName name="Google_Sheet_Link_964387557_614600274" hidden="1">Europe!max_solar_on_land_potential</definedName>
    <definedName name="Google_Sheet_Link_977075295_1448750327" hidden="1">Europe!historic_average_domestic_uranium_extraction</definedName>
    <definedName name="Google_Sheet_Link_977289106_614600274" hidden="1">Europe!cumulative_conventional_gas_extraction_until_1995</definedName>
    <definedName name="Google_Sheet_Link_97829406_614600274" hidden="1">Europe!max_hydro_potential</definedName>
    <definedName name="Google_Sheet_Link_979609888_550309872" hidden="1">Europe!cumulative_unconventional_gas_extraction_until_1995</definedName>
    <definedName name="Google_Sheet_Link_981421041_614600274" hidden="1">Europe!historic_efficiency_heat_coal_chp_plants</definedName>
    <definedName name="Google_Sheet_Link_98547094_614600274" hidden="1">Europe!efficiency_liquids_for_electricity</definedName>
    <definedName name="Google_Sheet_Link_986542678_614600274" hidden="1">Europe!historic_growth_res_for_heat_nc</definedName>
    <definedName name="Google_Sheet_Link_99523914_614600274" hidden="1">Europe!initial_ctl_production</definedName>
    <definedName name="grid_reinforcement_costs" localSheetId="0">Global!$C$51</definedName>
    <definedName name="gtl_efficiency" localSheetId="0">Global!$C$33</definedName>
    <definedName name="historic_average_domestic_uranium_extraction" localSheetId="3">Europe!$Z$177</definedName>
    <definedName name="historic_average_domestic_uranium_extraction" localSheetId="2">'Quebec untouched'!$Z$177</definedName>
    <definedName name="historic_average_pes_from_waste_growth" localSheetId="3">Europe!$AB$168</definedName>
    <definedName name="historic_average_pes_from_waste_growth" localSheetId="2">'Quebec untouched'!$AB$168</definedName>
    <definedName name="historic_average_pes_from_waste_growth" localSheetId="1">World!$AB$159</definedName>
    <definedName name="historic_ctl_production" localSheetId="3">Europe!$C$122:$X$122</definedName>
    <definedName name="historic_ctl_production" localSheetId="2">'Quebec untouched'!$C$122:$X$122</definedName>
    <definedName name="historic_ctl_production" localSheetId="1">World!$C$115:$X$115</definedName>
    <definedName name="historic_domestic_coal_extraction" localSheetId="3">Europe!$C$176:$X$176</definedName>
    <definedName name="historic_domestic_coal_extraction" localSheetId="2">'Quebec untouched'!$C$176:$X$176</definedName>
    <definedName name="historic_domestic_conventional_oil_extraction" localSheetId="3">Europe!$C$172:$X$172</definedName>
    <definedName name="historic_domestic_conventional_oil_extraction" localSheetId="2">'Quebec untouched'!$C$172:$X$172</definedName>
    <definedName name="historic_domestic_natural_gas_extraction" localSheetId="3">Europe!$C$174:$X$174</definedName>
    <definedName name="historic_domestic_natural_gas_extraction" localSheetId="2">'Quebec untouched'!$C$174:$X$174</definedName>
    <definedName name="historic_domestic_unconventional_natural_gas_extraction" localSheetId="3">Europe!$C$175:$X$175</definedName>
    <definedName name="historic_domestic_unconventional_natural_gas_extraction" localSheetId="2">'Quebec untouched'!$C$175:$X$175</definedName>
    <definedName name="historic_domestic_unconventional_oil_extraction" localSheetId="3">Europe!$C$173:$X$173</definedName>
    <definedName name="historic_domestic_unconventional_oil_extraction" localSheetId="2">'Quebec untouched'!$C$173:$X$173</definedName>
    <definedName name="historic_domestic_uranium_extraction" localSheetId="3">Europe!$C$177:$X$177</definedName>
    <definedName name="historic_domestic_uranium_extraction" localSheetId="2">'Quebec untouched'!$C$177:$X$177</definedName>
    <definedName name="historic_efficiency_coal_heat_plants" localSheetId="3">Europe!$C$103:$W$103</definedName>
    <definedName name="historic_efficiency_coal_heat_plants" localSheetId="2">'Quebec untouched'!$C$103:$W$103</definedName>
    <definedName name="historic_efficiency_coal_heat_plants" localSheetId="1">World!$C$96:$V$96</definedName>
    <definedName name="historic_efficiency_electricity_coal_chp_plants" localSheetId="3">Europe!$C$104:$W$104</definedName>
    <definedName name="historic_efficiency_electricity_coal_chp_plants" localSheetId="2">'Quebec untouched'!$C$104:$W$104</definedName>
    <definedName name="historic_efficiency_electricity_coal_chp_plants" localSheetId="1">World!$C$97:$V$97</definedName>
    <definedName name="historic_efficiency_electricity_gas_chp_plants" localSheetId="3">Europe!$C$101:$W$101</definedName>
    <definedName name="historic_efficiency_electricity_gas_chp_plants" localSheetId="2">'Quebec untouched'!$C$101:$W$101</definedName>
    <definedName name="historic_efficiency_electricity_gas_chp_plants" localSheetId="1">World!$C$94:$V$94</definedName>
    <definedName name="historic_efficiency_electricity_liquids_chp_plants" localSheetId="3">Europe!$C$107:$W$107</definedName>
    <definedName name="historic_efficiency_electricity_liquids_chp_plants" localSheetId="2">'Quebec untouched'!$C$107:$W$107</definedName>
    <definedName name="historic_efficiency_electricity_liquids_chp_plants" localSheetId="1">World!$C$100:$V$100</definedName>
    <definedName name="historic_efficiency_gas_for_electricity" localSheetId="3">Europe!$C$109:$W$109</definedName>
    <definedName name="historic_efficiency_gas_for_electricity" localSheetId="2">'Quebec untouched'!$C$109:$W$109</definedName>
    <definedName name="historic_efficiency_gas_for_electricity" localSheetId="1">World!$C$102:$V$102</definedName>
    <definedName name="historic_efficiency_gases_for_heat_plants" localSheetId="3">Europe!$C$100:$W$100</definedName>
    <definedName name="historic_efficiency_gases_for_heat_plants" localSheetId="2">'Quebec untouched'!$C$100:$W$100</definedName>
    <definedName name="historic_efficiency_gases_for_heat_plants" localSheetId="1">World!$C$93:$V$93</definedName>
    <definedName name="historic_efficiency_heat_coal_chp_plants" localSheetId="3">Europe!$C$105:$W$105</definedName>
    <definedName name="historic_efficiency_heat_coal_chp_plants" localSheetId="2">'Quebec untouched'!$C$105:$W$105</definedName>
    <definedName name="historic_efficiency_heat_coal_chp_plants" localSheetId="1">World!$C$98:$V$98</definedName>
    <definedName name="historic_efficiency_heat_gas_chp_plants" localSheetId="3">Europe!$C$102:$W$102</definedName>
    <definedName name="historic_efficiency_heat_gas_chp_plants" localSheetId="2">'Quebec untouched'!$C$102:$W$102</definedName>
    <definedName name="historic_efficiency_heat_gas_chp_plants" localSheetId="1">World!$C$95:$V$95</definedName>
    <definedName name="historic_efficiency_heat_liquids_chp_plants" localSheetId="3">Europe!$C$108:$W$108</definedName>
    <definedName name="historic_efficiency_heat_liquids_chp_plants" localSheetId="2">'Quebec untouched'!$C$108:$W$108</definedName>
    <definedName name="historic_efficiency_heat_liquids_chp_plants" localSheetId="1">World!$C$101:$V$101</definedName>
    <definedName name="historic_efficiency_liquids_heat_plants" localSheetId="3">Europe!$C$106:$W$106</definedName>
    <definedName name="historic_efficiency_liquids_heat_plants" localSheetId="2">'Quebec untouched'!$C$106:$W$106</definedName>
    <definedName name="historic_efficiency_liquids_heat_plants" localSheetId="1">World!$C$99:$V$99</definedName>
    <definedName name="historic_energy_industry_own_use" localSheetId="3">Europe!$C$170:$X$170</definedName>
    <definedName name="historic_energy_industry_own_use" localSheetId="2">'Quebec untouched'!$C$170:$X$170</definedName>
    <definedName name="historic_energy_industry_own_use" localSheetId="1">World!$C$161:$X$161</definedName>
    <definedName name="historic_growth_biofuels_second_generation" localSheetId="3">Europe!$C$79</definedName>
    <definedName name="historic_growth_biofuels_second_generation" localSheetId="2">'Quebec untouched'!$C$79</definedName>
    <definedName name="historic_growth_biofuels_second_generation" localSheetId="1">World!$C$72</definedName>
    <definedName name="historic_growth_ctl" localSheetId="3">Europe!$C$80</definedName>
    <definedName name="historic_growth_ctl" localSheetId="2">'Quebec untouched'!$C$80</definedName>
    <definedName name="historic_growth_ctl" localSheetId="1">World!$C$73</definedName>
    <definedName name="historic_growth_gtl" localSheetId="3">Europe!$C$81</definedName>
    <definedName name="historic_growth_gtl" localSheetId="2">'Quebec untouched'!$C$81</definedName>
    <definedName name="historic_growth_gtl" localSheetId="1">World!$C$74</definedName>
    <definedName name="historic_growth_phs_capacity" localSheetId="3">Europe!$C$82</definedName>
    <definedName name="historic_growth_phs_capacity" localSheetId="2">'Quebec untouched'!$C$82</definedName>
    <definedName name="historic_growth_phs_capacity" localSheetId="1">World!$C$75</definedName>
    <definedName name="historic_growth_res_for_electricity" localSheetId="3">Europe!$C$83:$C$90</definedName>
    <definedName name="historic_growth_res_for_electricity" localSheetId="2">'Quebec untouched'!$C$83:$C$90</definedName>
    <definedName name="historic_growth_res_for_electricity" localSheetId="1">World!$C$76:$C$83</definedName>
    <definedName name="historic_growth_res_for_heat_com" localSheetId="3">Europe!$C$91:$C$93</definedName>
    <definedName name="historic_growth_res_for_heat_com" localSheetId="2">'Quebec untouched'!$C$91:$C$93</definedName>
    <definedName name="historic_growth_res_for_heat_com" localSheetId="1">World!$C$84:$C$86</definedName>
    <definedName name="historic_growth_res_for_heat_nc" localSheetId="3">Europe!$C$94:$C$96</definedName>
    <definedName name="historic_growth_res_for_heat_nc" localSheetId="2">'Quebec untouched'!$C$94:$C$96</definedName>
    <definedName name="historic_growth_res_for_heat_nc" localSheetId="1">World!$C$87:$C$89</definedName>
    <definedName name="historic_gtl_production" localSheetId="3">Europe!$C$123:$X$123</definedName>
    <definedName name="historic_gtl_production" localSheetId="2">'Quebec untouched'!$C$123:$X$123</definedName>
    <definedName name="historic_gtl_production" localSheetId="1">World!$C$116:$X$116</definedName>
    <definedName name="historic_installed_capacity_phs" localSheetId="3">Europe!$C$152:$X$152</definedName>
    <definedName name="historic_installed_capacity_phs" localSheetId="2">'Quebec untouched'!$C$152:$X$152</definedName>
    <definedName name="historic_installed_capacity_phs" localSheetId="1">World!$C$143:$X$143</definedName>
    <definedName name="historic_installed_capacity_res_for_electricity" localSheetId="3">Europe!$C$144:$X$151</definedName>
    <definedName name="historic_installed_capacity_res_for_electricity" localSheetId="2">'Quebec untouched'!$C$144:$X$151</definedName>
    <definedName name="historic_installed_capacity_res_for_electricity" localSheetId="1">World!$C$135:$X$142</definedName>
    <definedName name="historic_losses_charcoal_plants" localSheetId="3">Europe!$C$110:$W$110</definedName>
    <definedName name="historic_losses_charcoal_plants" localSheetId="2">'Quebec untouched'!$C$110:$W$110</definedName>
    <definedName name="historic_losses_charcoal_plants" localSheetId="1">World!$C$103:$V$103</definedName>
    <definedName name="historic_non_energy_use" localSheetId="3">Europe!$C$154:$X$158</definedName>
    <definedName name="historic_non_energy_use" localSheetId="2">'Quebec untouched'!$C$154:$X$158</definedName>
    <definedName name="historic_non_energy_use" localSheetId="1">World!$C$145:$X$149</definedName>
    <definedName name="historic_nuclear_generation" localSheetId="3">Europe!$C$140:$X$140</definedName>
    <definedName name="historic_nuclear_generation" localSheetId="2">'Quebec untouched'!$C$140:$X$140</definedName>
    <definedName name="historic_nuclear_generation" localSheetId="1">World!$C$133:$X$133</definedName>
    <definedName name="historic_pipeline_transport" localSheetId="3">Europe!$C$142:$X$142</definedName>
    <definedName name="historic_pipeline_transport" localSheetId="2">'Quebec untouched'!$C$142:$X$142</definedName>
    <definedName name="historic_primary_energy_supply_biogas" localSheetId="3">Europe!$C$112:$W$112</definedName>
    <definedName name="historic_primary_energy_supply_biogas" localSheetId="2">'Quebec untouched'!$C$112:$W$112</definedName>
    <definedName name="historic_primary_energy_supply_biogas" localSheetId="1">World!$C$105:$V$105</definedName>
    <definedName name="historic_primary_energy_supply_of_waste" localSheetId="3">Europe!$C$168:$X$168</definedName>
    <definedName name="historic_primary_energy_supply_of_waste" localSheetId="2">'Quebec untouched'!$C$168:$X$168</definedName>
    <definedName name="historic_primary_energy_supply_of_waste" localSheetId="1">World!$C$159:$X$159</definedName>
    <definedName name="historic_primary_energy_supply_peat" localSheetId="3">Europe!$C$111:$W$111</definedName>
    <definedName name="historic_primary_energy_supply_peat" localSheetId="2">'Quebec untouched'!$C$111:$W$111</definedName>
    <definedName name="historic_primary_energy_supply_peat" localSheetId="1">World!$C$104:$V$104</definedName>
    <definedName name="historic_production_of_second_generation_biofuels" localSheetId="3">Europe!$C$130:$X$130</definedName>
    <definedName name="historic_production_of_second_generation_biofuels" localSheetId="2">'Quebec untouched'!$C$130:$X$130</definedName>
    <definedName name="historic_production_of_second_generation_biofuels" localSheetId="1">World!$C$123:$X$123</definedName>
    <definedName name="historic_res_capacity_for_heat_commercial" localSheetId="3">Europe!$C$136:$X$138</definedName>
    <definedName name="historic_res_capacity_for_heat_commercial" localSheetId="2">'Quebec untouched'!$C$136:$X$138</definedName>
    <definedName name="historic_res_capacity_for_heat_commercial" localSheetId="1">World!$C$129:$X$131</definedName>
    <definedName name="historic_res_capacity_for_heat_non_commercial" localSheetId="3">Europe!$C$132:$X$134</definedName>
    <definedName name="historic_res_capacity_for_heat_non_commercial" localSheetId="2">'Quebec untouched'!$C$132:$X$134</definedName>
    <definedName name="historic_res_capacity_for_heat_non_commercial" localSheetId="1">World!$C$125:$X$127</definedName>
    <definedName name="historic_share_chp_plants_gas" localSheetId="3">Europe!$C$117:$X$117</definedName>
    <definedName name="historic_share_chp_plants_gas" localSheetId="2">'Quebec untouched'!$C$117:$X$117</definedName>
    <definedName name="historic_share_chp_plants_gas" localSheetId="1">World!$C$110:$X$110</definedName>
    <definedName name="historic_share_chp_plants_oil" localSheetId="3">Europe!$C$118:$X$118</definedName>
    <definedName name="historic_share_chp_plants_oil" localSheetId="2">'Quebec untouched'!$C$118:$X$118</definedName>
    <definedName name="historic_share_chp_plants_oil" localSheetId="1">World!$C$111:$X$111</definedName>
    <definedName name="historic_share_commercial_heat_in_chp_on_total_commercial_heat_generation" localSheetId="3">Europe!$C$116:$X$116</definedName>
    <definedName name="historic_share_commercial_heat_in_chp_on_total_commercial_heat_generation" localSheetId="2">'Quebec untouched'!$C$116:$X$116</definedName>
    <definedName name="historic_share_commercial_heat_in_chp_on_total_commercial_heat_generation" localSheetId="1">World!$C$109:$X$109</definedName>
    <definedName name="historic_share_losses_over_total_extraction_gases" localSheetId="3">Europe!$C$162:$X$162</definedName>
    <definedName name="historic_share_losses_over_total_extraction_gases" localSheetId="2">'Quebec untouched'!$C$162:$X$162</definedName>
    <definedName name="historic_share_losses_over_total_extraction_gases" localSheetId="1">World!$C$153:$X$153</definedName>
    <definedName name="historic_share_losses_over_total_extraction_liquids" localSheetId="3">Europe!$C$161:$X$161</definedName>
    <definedName name="historic_share_losses_over_total_extraction_liquids" localSheetId="2">'Quebec untouched'!$C$161:$X$161</definedName>
    <definedName name="historic_share_losses_over_total_extraction_liquids" localSheetId="1">World!$C$152:$X$152</definedName>
    <definedName name="historic_share_losses_over_total_extraction_solids" localSheetId="3">Europe!$C$160:$X$160</definedName>
    <definedName name="historic_share_losses_over_total_extraction_solids" localSheetId="2">'Quebec untouched'!$C$160:$X$160</definedName>
    <definedName name="historic_share_losses_over_total_extraction_solids" localSheetId="1">World!$C$151:$X$151</definedName>
    <definedName name="historic_share_of_electricity_produced_from_gas_over_electricity_produced_coal_and_gas" localSheetId="3">Europe!$C$126:$X$126</definedName>
    <definedName name="historic_share_of_electricity_produced_from_gas_over_electricity_produced_coal_and_gas" localSheetId="2">'Quebec untouched'!$C$126:$X$126</definedName>
    <definedName name="historic_share_of_electricity_produced_from_gas_over_electricity_produced_coal_and_gas" localSheetId="1">World!$C$119:$X$119</definedName>
    <definedName name="historic_share_of_electricity_produced_from_oil_over_total_fossil_electricity" localSheetId="3">Europe!$C$125:$X$125</definedName>
    <definedName name="historic_share_of_electricity_produced_from_oil_over_total_fossil_electricity" localSheetId="2">'Quebec untouched'!$C$125:$X$125</definedName>
    <definedName name="historic_share_of_electricity_produced_from_oil_over_total_fossil_electricity" localSheetId="1">World!$C$118:$X$118</definedName>
    <definedName name="historic_share_of_heat_produced_from_gas_over_electricity_produced_coal_and_gas" localSheetId="3">Europe!$C$127:$X$127</definedName>
    <definedName name="historic_share_of_heat_produced_from_gas_over_electricity_produced_coal_and_gas" localSheetId="2">'Quebec untouched'!$C$127:$X$127</definedName>
    <definedName name="historic_share_of_heat_produced_from_gas_over_electricity_produced_coal_and_gas" localSheetId="1">World!$C$120:$X$120</definedName>
    <definedName name="historic_share_of_liquids_in_heat_plants" localSheetId="3">Europe!$C$128:$X$128</definedName>
    <definedName name="historic_share_of_liquids_in_heat_plants" localSheetId="2">'Quebec untouched'!$C$128:$X$128</definedName>
    <definedName name="historic_share_of_liquids_in_heat_plants" localSheetId="1">World!$C$121:$X$121</definedName>
    <definedName name="historic_share_of_transformation_losses_over_total_extraction_liquids" localSheetId="3">Europe!$C$164:$X$164</definedName>
    <definedName name="historic_share_of_transformation_losses_over_total_extraction_liquids" localSheetId="2">'Quebec untouched'!$C$164:$X$164</definedName>
    <definedName name="historic_share_of_transformation_losses_over_total_extraction_liquids" localSheetId="1">World!$C$155:$X$155</definedName>
    <definedName name="historic_share_of_transformation_losses_over_total_extraction_solids" localSheetId="3">Europe!$C$165:$X$165</definedName>
    <definedName name="historic_share_of_transformation_losses_over_total_extraction_solids" localSheetId="2">'Quebec untouched'!$C$165:$X$165</definedName>
    <definedName name="historic_share_of_transformation_losses_over_total_extraction_solids" localSheetId="1">World!$C$156:$X$156</definedName>
    <definedName name="historic_share_of_urban_pv_over_total" localSheetId="3">Europe!$C$141:$X$141</definedName>
    <definedName name="historic_share_of_urban_pv_over_total" localSheetId="2">'Quebec untouched'!$C$141:$X$141</definedName>
    <definedName name="historic_unconventional_gas_extraction" localSheetId="3">Europe!$C$121:$X$121</definedName>
    <definedName name="historic_unconventional_gas_extraction" localSheetId="2">'Quebec untouched'!$C$121:$X$121</definedName>
    <definedName name="historic_unconventional_gas_extraction" localSheetId="1">World!$C$114:$X$114</definedName>
    <definedName name="historic_unconventional_oil_extraction" localSheetId="3">Europe!$C$120:$X$120</definedName>
    <definedName name="historic_unconventional_oil_extraction" localSheetId="2">'Quebec untouched'!$C$120:$X$120</definedName>
    <definedName name="historic_unconventional_oil_extraction" localSheetId="1">World!$C$113:$X$113</definedName>
    <definedName name="initial_ctl_production" localSheetId="3">Europe!$C$122</definedName>
    <definedName name="initial_ctl_production" localSheetId="2">'Quebec untouched'!$C$122</definedName>
    <definedName name="initial_ctl_production" localSheetId="1">World!$C$115</definedName>
    <definedName name="initial_efficiency_gas_for_electricity" localSheetId="3">Europe!$C$109</definedName>
    <definedName name="initial_efficiency_gas_for_electricity" localSheetId="2">'Quebec untouched'!$C$109</definedName>
    <definedName name="initial_efficiency_gas_for_electricity" localSheetId="1">World!$C$102</definedName>
    <definedName name="initial_gtl_production" localSheetId="3">Europe!$C$123</definedName>
    <definedName name="initial_gtl_production" localSheetId="2">'Quebec untouched'!$C$123</definedName>
    <definedName name="initial_gtl_production" localSheetId="1">World!$C$116</definedName>
    <definedName name="initial_installed_capacity_phs" localSheetId="3">Europe!$C$152</definedName>
    <definedName name="initial_installed_capacity_phs" localSheetId="2">'Quebec untouched'!$C$152</definedName>
    <definedName name="initial_installed_capacity_phs" localSheetId="1">World!$C$143</definedName>
    <definedName name="initial_installed_capacity_res_for_electricity" localSheetId="3">Europe!$C$144:$C$151</definedName>
    <definedName name="initial_installed_capacity_res_for_electricity" localSheetId="2">'Quebec untouched'!$C$144:$C$151</definedName>
    <definedName name="initial_installed_capacity_res_for_electricity" localSheetId="1">World!$C$135:$C$142</definedName>
    <definedName name="initial_non_energy_use" localSheetId="3">Europe!$C$154:$C$158</definedName>
    <definedName name="initial_non_energy_use" localSheetId="2">'Quebec untouched'!$C$154:$C$158</definedName>
    <definedName name="initial_non_energy_use" localSheetId="1">World!$C$145:$C$149</definedName>
    <definedName name="initial_nuclear_generation" localSheetId="3">Europe!$C$140</definedName>
    <definedName name="initial_nuclear_generation" localSheetId="2">'Quebec untouched'!$C$140</definedName>
    <definedName name="initial_nuclear_generation" localSheetId="1">World!$C$133</definedName>
    <definedName name="initial_primary_energy_supply_from_waste" localSheetId="3">Europe!$C$168</definedName>
    <definedName name="initial_primary_energy_supply_from_waste" localSheetId="2">'Quebec untouched'!$C$168</definedName>
    <definedName name="initial_primary_energy_supply_from_waste" localSheetId="1">World!$C$159</definedName>
    <definedName name="initial_production_of_second_generation_biofuels" localSheetId="3">Europe!$C$130</definedName>
    <definedName name="initial_production_of_second_generation_biofuels" localSheetId="2">'Quebec untouched'!$C$130</definedName>
    <definedName name="initial_production_of_second_generation_biofuels" localSheetId="1">World!$C$123</definedName>
    <definedName name="initial_res_capacity_for_heat_commercial" localSheetId="3">Europe!$C$136:$C$138</definedName>
    <definedName name="initial_res_capacity_for_heat_commercial" localSheetId="2">'Quebec untouched'!$C$136:$C$138</definedName>
    <definedName name="initial_res_capacity_for_heat_commercial" localSheetId="1">World!$C$129:$C$131</definedName>
    <definedName name="initial_res_capacity_for_heat_non_commercial" localSheetId="3">Europe!$C$132:$C$134</definedName>
    <definedName name="initial_res_capacity_for_heat_non_commercial" localSheetId="2">'Quebec untouched'!$C$132:$C$134</definedName>
    <definedName name="initial_res_capacity_for_heat_non_commercial" localSheetId="1">World!$C$125:$C$127</definedName>
    <definedName name="invest_cost_nuclear" localSheetId="0">Global!$H$13:$S$13</definedName>
    <definedName name="invest_cost_res_elec" localSheetId="0">Global!$H$4:$S$11</definedName>
    <definedName name="kw_per_battery_ev" localSheetId="0">Global!$G$34</definedName>
    <definedName name="land_occupation_ratio_biofuels_marginal_land" localSheetId="0">Global!$C$46</definedName>
    <definedName name="land_occupation_ratio_of_solar_pv" localSheetId="3">Europe!$C$74</definedName>
    <definedName name="land_occupation_ratio_of_solar_pv" localSheetId="2">'Quebec untouched'!$C$74</definedName>
    <definedName name="land_productivity_biofuels_marginal_land" localSheetId="0">Global!$C$48</definedName>
    <definedName name="land_productivity_biofuels_second_generation" localSheetId="0">Global!$C$47</definedName>
    <definedName name="lifetime_ctl" localSheetId="0">Global!$C$20</definedName>
    <definedName name="lifetime_gtl" localSheetId="0">Global!$C$21</definedName>
    <definedName name="lifetime_nuclear" localSheetId="0">Global!$C$13</definedName>
    <definedName name="lifetime_res_elec" localSheetId="0">Global!$C$4:$C$11</definedName>
    <definedName name="lifetime_res_for_heat" localSheetId="0">Global!$C$15:$C$17</definedName>
    <definedName name="losses_solar_for_heat" localSheetId="0">Global!$G$37</definedName>
    <definedName name="max_biogases_potential" localSheetId="1">World!$C$193</definedName>
    <definedName name="max_extraction_agg_gas" localSheetId="3">Europe!$E$62:$AH$62</definedName>
    <definedName name="max_extraction_agg_gas" localSheetId="2">'Quebec untouched'!$E$62:$AH$62</definedName>
    <definedName name="max_extraction_agg_gas" localSheetId="1">World!$E$62:$AE$62</definedName>
    <definedName name="max_extraction_agg_oil" localSheetId="3">Europe!$E$55:$AH$55</definedName>
    <definedName name="max_extraction_agg_oil" localSheetId="2">'Quebec untouched'!$E$55:$AH$55</definedName>
    <definedName name="max_extraction_agg_oil" localSheetId="1">World!$E$55:$AG$55</definedName>
    <definedName name="max_extraction_coal" localSheetId="3">Europe!$E$65:$T$65</definedName>
    <definedName name="max_extraction_coal" localSheetId="2">'Quebec untouched'!$E$65:$T$65</definedName>
    <definedName name="max_extraction_coal" localSheetId="1">World!$E$65:$T$65</definedName>
    <definedName name="max_extraction_conv_gas" localSheetId="3">Europe!$E$58:$U$58</definedName>
    <definedName name="max_extraction_conv_gas" localSheetId="2">'Quebec untouched'!$E$58:$U$58</definedName>
    <definedName name="max_extraction_conv_gas" localSheetId="1">World!$E$58:$P$58</definedName>
    <definedName name="max_extraction_conv_oil" localSheetId="3">Europe!$E$51:$V$51</definedName>
    <definedName name="max_extraction_conv_oil" localSheetId="2">'Quebec untouched'!$E$51:$V$51</definedName>
    <definedName name="max_extraction_conv_oil" localSheetId="1">World!$E$51:$AH$51</definedName>
    <definedName name="max_extraction_unconv_gas" localSheetId="3">Europe!$E$60:$X$60</definedName>
    <definedName name="max_extraction_unconv_gas" localSheetId="2">'Quebec untouched'!$E$60:$X$60</definedName>
    <definedName name="max_extraction_unconv_gas" localSheetId="1">World!$E$60:$AH$60</definedName>
    <definedName name="max_extraction_unconv_oil" localSheetId="3">Europe!$E$53:$U$53</definedName>
    <definedName name="max_extraction_unconv_oil" localSheetId="2">'Quebec untouched'!$E$53:$U$53</definedName>
    <definedName name="max_extraction_unconv_oil" localSheetId="1">World!$E$53:$Z$53</definedName>
    <definedName name="max_extraction_uranium" localSheetId="3">Europe!$E$68:$AH$68</definedName>
    <definedName name="max_extraction_uranium" localSheetId="2">'Quebec untouched'!$E$68:$AH$68</definedName>
    <definedName name="max_extraction_uranium" localSheetId="1">World!$E$68:$R$68</definedName>
    <definedName name="max_hydro_potential" localSheetId="3">Europe!$C$201</definedName>
    <definedName name="max_hydro_potential" localSheetId="2">'Quebec untouched'!$C$201</definedName>
    <definedName name="max_hydro_potential" localSheetId="1">World!$C$186</definedName>
    <definedName name="max_NPP_pot_bioe_res" localSheetId="3">Europe!$C$208</definedName>
    <definedName name="max_NPP_pot_bioe_res" localSheetId="2">'Quebec untouched'!$C$209</definedName>
    <definedName name="max_NPP_pot_bioe_res" localSheetId="1">World!$C$195</definedName>
    <definedName name="max_oceanic_potential" localSheetId="3">Europe!$C$204</definedName>
    <definedName name="max_oceanic_potential" localSheetId="2">'Quebec untouched'!$C$204</definedName>
    <definedName name="max_oceanic_potential" localSheetId="1">World!$C$189</definedName>
    <definedName name="max_offshore_wind_potential" localSheetId="3">Europe!$C$206</definedName>
    <definedName name="max_offshore_wind_potential" localSheetId="2">'Quebec untouched'!$C$206</definedName>
    <definedName name="max_offshore_wind_potential" localSheetId="1">World!$C$191</definedName>
    <definedName name="max_onshore_wind_potential" localSheetId="3">Europe!$C$205</definedName>
    <definedName name="max_onshore_wind_potential" localSheetId="2">'Quebec untouched'!$C$205</definedName>
    <definedName name="max_onshore_wind_potential" localSheetId="1">World!$C$190</definedName>
    <definedName name="max_PE_biogas" localSheetId="3">Europe!$C$210</definedName>
    <definedName name="max_PE_biogas" localSheetId="2">'Quebec untouched'!$C$213</definedName>
    <definedName name="max_PE_geot_elec_potential" localSheetId="3">Europe!$C$202</definedName>
    <definedName name="max_PE_geot_elec_potential" localSheetId="2">'Quebec untouched'!$C$202</definedName>
    <definedName name="max_PE_geot_elect_potential" localSheetId="1">World!$C$187</definedName>
    <definedName name="max_PE_waste" localSheetId="3">Europe!#REF!</definedName>
    <definedName name="max_PE_waste" localSheetId="2">'Quebec untouched'!$C$215</definedName>
    <definedName name="max_PHS_potential" localSheetId="3">Europe!$C$203</definedName>
    <definedName name="max_PHS_potential" localSheetId="2">'Quebec untouched'!$C$203</definedName>
    <definedName name="max_PHS_potential" localSheetId="1">World!$C$188</definedName>
    <definedName name="max_pot_NPP_bioe_conv" localSheetId="3">Europe!$C$207</definedName>
    <definedName name="max_pot_NPP_bioe_conv" localSheetId="2">'Quebec untouched'!$C$208</definedName>
    <definedName name="max_pot_NPP_bioe_conv" localSheetId="1">World!$C$194</definedName>
    <definedName name="max_solar_on_land_potential" localSheetId="3">Europe!#REF!</definedName>
    <definedName name="max_solar_on_land_potential" localSheetId="2">'Quebec untouched'!$C$207</definedName>
    <definedName name="max_solar_on_land_potential" localSheetId="1">World!$C$192</definedName>
    <definedName name="max_waste_potential" localSheetId="1">World!$C$196</definedName>
    <definedName name="max_yearly_change_between_sources" localSheetId="3">Europe!$B$193:$R$197</definedName>
    <definedName name="max_yearly_change_between_sources" localSheetId="2">'Quebec untouched'!$B$193:$R$197</definedName>
    <definedName name="max_yearly_change_between_sources" localSheetId="1">World!$B$178:$R$182</definedName>
    <definedName name="maximum_efficiency_gas_power_plant" localSheetId="0">Global!$C$39</definedName>
    <definedName name="maximum_yearly_acceleration_of_intensity_improvement" localSheetId="3">Europe!$B$181:$R$185</definedName>
    <definedName name="maximum_yearly_acceleration_of_intensity_improvement" localSheetId="2">'Quebec untouched'!$B$181:$R$185</definedName>
    <definedName name="maximum_yearly_acceleration_of_intensity_improvement" localSheetId="1">World!$B$166:$R$170</definedName>
    <definedName name="minimum_cp_baseload_res" localSheetId="3">Europe!$B$4:$B$11</definedName>
    <definedName name="minimum_cp_baseload_res" localSheetId="2">'Quebec untouched'!$B$4:$B$11</definedName>
    <definedName name="minimum_cp_baseload_res" localSheetId="1">World!$B$4:$B$11</definedName>
    <definedName name="minimum_cp_nuclear" localSheetId="3">Europe!$B$13</definedName>
    <definedName name="minimum_cp_nuclear" localSheetId="2">'Quebec untouched'!$B$13</definedName>
    <definedName name="minimum_cp_nuclear" localSheetId="1">World!$B$13</definedName>
    <definedName name="minimum_fraction_source" localSheetId="3">Europe!$B$187:$R$191</definedName>
    <definedName name="minimum_fraction_source" localSheetId="2">'Quebec untouched'!$B$187:$R$191</definedName>
    <definedName name="minimum_fraction_source" localSheetId="1">World!$B$172:$R$176</definedName>
    <definedName name="minimum_lifetime_ev_batteries" localSheetId="0">Global!$C$22</definedName>
    <definedName name="net_stored_energy_ev_battery_over_lifetime" localSheetId="0">Global!$G$33</definedName>
    <definedName name="oil_refinery_gains_share" localSheetId="0">Global!$C$52</definedName>
    <definedName name="pe_consumption_trad_biomass_ref" localSheetId="3">Europe!$C$28</definedName>
    <definedName name="pe_consumption_trad_biomass_ref" localSheetId="2">'Quebec untouched'!$C$28</definedName>
    <definedName name="pe_consumption_trad_biomass_ref" localSheetId="1">World!$C$28</definedName>
    <definedName name="performance_ratio_over_the_plant_lifecycle_of_solar_pv" localSheetId="3">Europe!$C$73</definedName>
    <definedName name="performance_ratio_over_the_plant_lifecycle_of_solar_pv" localSheetId="2">'Quebec untouched'!$C$73</definedName>
    <definedName name="planning_time_nuclear" localSheetId="0">Global!$G$13</definedName>
    <definedName name="planning_time_res_elec" localSheetId="0">Global!$G$4:$G$11</definedName>
    <definedName name="power_density_res_elec" localSheetId="0">Global!$D$4:$D$11</definedName>
    <definedName name="ratio_gain_gas_vs_losses_solids_in_tranformation_processes" localSheetId="3">Europe!$C$166:$X$166</definedName>
    <definedName name="ratio_gain_gas_vs_losses_solids_in_tranformation_processes" localSheetId="2">'Quebec untouched'!$C$166:$X$166</definedName>
    <definedName name="ratio_gain_gas_vs_losses_solids_in_tranformation_processes" localSheetId="1">World!$C$157:$X$157</definedName>
    <definedName name="replacement_rate_nuclear" localSheetId="0">Global!$E$13</definedName>
    <definedName name="replacement_rate_res_for_heat" localSheetId="0">Global!$E$15:$E$17</definedName>
    <definedName name="round_trip_storage_efficiency_ev_batteries" localSheetId="0">Global!$G$35</definedName>
    <definedName name="round_trip_storage_efficiency_phs" localSheetId="0">Global!$G$31</definedName>
    <definedName name="RURR_agg_gas" localSheetId="3">Europe!$E$61:$AH$61</definedName>
    <definedName name="RURR_agg_gas" localSheetId="2">'Quebec untouched'!$E$61:$AH$61</definedName>
    <definedName name="RURR_agg_gas" localSheetId="1">World!$E$61:$AE$61</definedName>
    <definedName name="RURR_agg_oil" localSheetId="3">Europe!$E$54:$AH$54</definedName>
    <definedName name="RURR_agg_oil" localSheetId="2">'Quebec untouched'!$E$54:$AH$54</definedName>
    <definedName name="RURR_agg_oil" localSheetId="1">World!$E$54:$AG$54</definedName>
    <definedName name="RURR_coal" localSheetId="3">Europe!$E$64:$T$64</definedName>
    <definedName name="RURR_coal" localSheetId="2">'Quebec untouched'!$E$64:$T$64</definedName>
    <definedName name="RURR_coal" localSheetId="1">World!$E$64:$T$64</definedName>
    <definedName name="RURR_conv_gas" localSheetId="3">Europe!$E$57:$U$57</definedName>
    <definedName name="RURR_conv_gas" localSheetId="2">'Quebec untouched'!$E$57:$U$57</definedName>
    <definedName name="RURR_conv_gas" localSheetId="1">World!$E$57:$P$57</definedName>
    <definedName name="RURR_conv_oil" localSheetId="3">Europe!$E$50:$V$50</definedName>
    <definedName name="RURR_conv_oil" localSheetId="2">'Quebec untouched'!$E$50:$V$50</definedName>
    <definedName name="RURR_conv_oil" localSheetId="1">World!$E$50:$AH$50</definedName>
    <definedName name="RURR_unconv_gas" localSheetId="3">Europe!$E$59:$X$59</definedName>
    <definedName name="RURR_unconv_gas" localSheetId="2">'Quebec untouched'!$E$59:$X$59</definedName>
    <definedName name="RURR_unconv_gas" localSheetId="1">World!$E$59:$AH$59</definedName>
    <definedName name="RURR_unconv_oil" localSheetId="3">Europe!$E$52:$U$52</definedName>
    <definedName name="RURR_unconv_oil" localSheetId="2">'Quebec untouched'!$E$52:$U$52</definedName>
    <definedName name="RURR_unconv_oil" localSheetId="1">World!$E$52:$Z$52</definedName>
    <definedName name="RURR_uranium" localSheetId="3">Europe!$E$67:$AH$67</definedName>
    <definedName name="RURR_uranium" localSheetId="2">'Quebec untouched'!$E$67:$AH$67</definedName>
    <definedName name="RURR_uranium" localSheetId="1">World!$E$67:$R$67</definedName>
    <definedName name="sensitivity_scarcity_high" localSheetId="0">Global!$G$45</definedName>
    <definedName name="sensitivity_scarcity_low" localSheetId="0">Global!$G$47</definedName>
    <definedName name="sensitivity_scarcity_medium" localSheetId="0">Global!$G$46</definedName>
    <definedName name="share_feh_over_fed_coal" localSheetId="3">Europe!$C$33</definedName>
    <definedName name="share_feh_over_fed_coal" localSheetId="2">'Quebec untouched'!$C$33</definedName>
    <definedName name="share_feh_over_fed_coal" localSheetId="1">World!$C$33</definedName>
    <definedName name="share_feh_over_fed_nat_gas" localSheetId="3">Europe!$C$32</definedName>
    <definedName name="share_feh_over_fed_nat_gas" localSheetId="2">'Quebec untouched'!$C$32</definedName>
    <definedName name="share_feh_over_fed_nat_gas" localSheetId="1">World!$C$32</definedName>
    <definedName name="share_feh_over_fed_oil" localSheetId="3">Europe!$C$31</definedName>
    <definedName name="share_feh_over_fed_oil" localSheetId="2">'Quebec untouched'!$C$31</definedName>
    <definedName name="share_feh_over_fed_oil" localSheetId="1">World!$C$31</definedName>
    <definedName name="share_feh_over_fed_solids_bioe" localSheetId="3">Europe!$C$34</definedName>
    <definedName name="share_feh_over_fed_solids_bioe" localSheetId="2">'Quebec untouched'!$C$34</definedName>
    <definedName name="share_feh_over_fed_solids_bioe" localSheetId="1">World!$C$34</definedName>
    <definedName name="share_heat_distribution_losses" localSheetId="0">Global!$C$53</definedName>
    <definedName name="share_heat_output_vs_electricity_in_nuclear" localSheetId="3">Europe!$G$31</definedName>
    <definedName name="share_heat_output_vs_electricity_in_nuclear" localSheetId="2">'Quebec untouched'!$G$31</definedName>
    <definedName name="share_heat_output_vs_electricity_in_nuclear" localSheetId="1">World!$G$31</definedName>
    <definedName name="share_of_electricity_produced_from_gas_over_electricity_produced_coal_and_gas_2014" localSheetId="3">Europe!$V$126</definedName>
    <definedName name="share_of_electricity_produced_from_gas_over_electricity_produced_coal_and_gas_2014" localSheetId="2">'Quebec untouched'!$V$126</definedName>
    <definedName name="share_of_electricity_produced_from_gas_over_electricity_produced_coal_and_gas_2014" localSheetId="1">World!$V$119</definedName>
    <definedName name="share_of_electricity_produced_from_oil_over_total_fossil_electricity_2015" localSheetId="3">Europe!$W$125</definedName>
    <definedName name="share_of_electricity_produced_from_oil_over_total_fossil_electricity_2015" localSheetId="2">'Quebec untouched'!$W$125</definedName>
    <definedName name="share_of_electricity_produced_from_oil_over_total_fossil_electricity_2015" localSheetId="1">World!$W$118</definedName>
    <definedName name="share_of_variable_res" localSheetId="0">Global!$B$25:$L$25</definedName>
    <definedName name="share_pes_biogas_for_chp_plants" localSheetId="3">Europe!$G$39</definedName>
    <definedName name="share_pes_biogas_for_chp_plants" localSheetId="2">'Quebec untouched'!$G$39</definedName>
    <definedName name="share_pes_biogas_for_chp_plants" localSheetId="1">World!$G$39</definedName>
    <definedName name="share_pes_biogas_for_elec_plants" localSheetId="3">Europe!$G$38</definedName>
    <definedName name="share_pes_biogas_for_elec_plants" localSheetId="2">'Quebec untouched'!$G$38</definedName>
    <definedName name="share_pes_biogas_for_elec_plants" localSheetId="1">World!$G$38</definedName>
    <definedName name="share_pes_biogas_for_heat_plants" localSheetId="3">Europe!$G$37</definedName>
    <definedName name="share_pes_biogas_for_heat_plants" localSheetId="2">'Quebec untouched'!$G$37</definedName>
    <definedName name="share_pes_biogas_for_heat_plants" localSheetId="1">World!$G$37</definedName>
    <definedName name="share_pes_biogas_tfc" localSheetId="3">Europe!$G$40</definedName>
    <definedName name="share_pes_biogas_tfc" localSheetId="2">'Quebec untouched'!$G$40</definedName>
    <definedName name="share_pes_biogas_tfc" localSheetId="1">World!$G$40</definedName>
    <definedName name="share_pes_waste_for_chp" localSheetId="3">Europe!$C$39</definedName>
    <definedName name="share_pes_waste_for_chp" localSheetId="2">'Quebec untouched'!$C$39</definedName>
    <definedName name="share_pes_waste_for_chp" localSheetId="1">World!$C$39</definedName>
    <definedName name="share_pes_waste_for_elec_plants" localSheetId="3">Europe!$C$38</definedName>
    <definedName name="share_pes_waste_for_elec_plants" localSheetId="2">'Quebec untouched'!$C$38</definedName>
    <definedName name="share_pes_waste_for_elec_plants" localSheetId="1">World!$C$38</definedName>
    <definedName name="share_pes_waste_for_heat_plants" localSheetId="3">Europe!$C$37</definedName>
    <definedName name="share_pes_waste_for_heat_plants" localSheetId="2">'Quebec untouched'!$C$37</definedName>
    <definedName name="share_pes_waste_for_heat_plants" localSheetId="1">World!$C$37</definedName>
    <definedName name="share_pes_waste_tfc" localSheetId="3">Europe!$C$40</definedName>
    <definedName name="share_pes_waste_tfc" localSheetId="2">'Quebec untouched'!$C$40</definedName>
    <definedName name="share_pes_waste_tfc" localSheetId="1">World!$C$40</definedName>
    <definedName name="share_trad_biomass_vs_solids_in_households" localSheetId="3">Europe!$G$26</definedName>
    <definedName name="share_trad_biomass_vs_solids_in_households" localSheetId="2">'Quebec untouched'!$G$26</definedName>
    <definedName name="share_trad_biomass_vs_solids_in_households" localSheetId="1">World!$G$26</definedName>
    <definedName name="share_transm_and_distribution_elec_losses_initial" localSheetId="0">Global!$C$42</definedName>
    <definedName name="share_unconv_vs_agg_gas_in_2050" localSheetId="3">Europe!$B$61</definedName>
    <definedName name="share_unconv_vs_agg_gas_in_2050" localSheetId="2">'Quebec untouched'!$B$61</definedName>
    <definedName name="share_unconv_vs_agg_gas_in_2050" localSheetId="1">World!$B$61</definedName>
    <definedName name="share_unconv_vs_agg_oil_in_2050" localSheetId="3">Europe!$B$54</definedName>
    <definedName name="share_unconv_vs_agg_oil_in_2050" localSheetId="2">'Quebec untouched'!$B$54</definedName>
    <definedName name="share_unconv_vs_agg_oil_in_2050" localSheetId="1">World!$B$54</definedName>
    <definedName name="start_production_biofuels" localSheetId="3">Europe!$B$21:$K$21</definedName>
    <definedName name="start_production_biofuels" localSheetId="2">'Quebec untouched'!$B$21:$K$21</definedName>
    <definedName name="start_production_biofuels" localSheetId="1">World!$B$21:$P$21</definedName>
    <definedName name="Time" localSheetId="0">Global!$H$3:$S$3</definedName>
    <definedName name="time_efficiencies" localSheetId="3">Europe!$C$99:$W$99</definedName>
    <definedName name="time_efficiencies" localSheetId="2">'Quebec untouched'!$C$99:$W$99</definedName>
    <definedName name="time_efficiencies" localSheetId="1">World!$C$92:$V$92</definedName>
    <definedName name="time_historic_data" localSheetId="3">Europe!$C$115:$X$115</definedName>
    <definedName name="time_historic_data" localSheetId="2">'Quebec untouched'!$C$115:$X$115</definedName>
    <definedName name="time_historic_data" localSheetId="1">World!$C$108:$X$108</definedName>
    <definedName name="URR_agg_gas" localSheetId="3">Europe!$C$61</definedName>
    <definedName name="URR_agg_gas" localSheetId="2">'Quebec untouched'!$C$61</definedName>
    <definedName name="URR_agg_gas" localSheetId="1">World!$C$61</definedName>
    <definedName name="URR_agg_oil" localSheetId="3">Europe!$C$54</definedName>
    <definedName name="URR_agg_oil" localSheetId="2">'Quebec untouched'!$C$54</definedName>
    <definedName name="URR_agg_oil" localSheetId="1">World!$C$54</definedName>
    <definedName name="URR_coal" localSheetId="3">Europe!$C$64</definedName>
    <definedName name="URR_coal" localSheetId="2">'Quebec untouched'!$C$64</definedName>
    <definedName name="URR_coal" localSheetId="1">World!$C$64</definedName>
    <definedName name="URR_conv_gas" localSheetId="3">Europe!$C$57</definedName>
    <definedName name="URR_conv_gas" localSheetId="2">'Quebec untouched'!$C$57</definedName>
    <definedName name="URR_conv_gas" localSheetId="1">World!$C$57</definedName>
    <definedName name="URR_conv_oil" localSheetId="3">Europe!$C$50</definedName>
    <definedName name="URR_conv_oil" localSheetId="2">'Quebec untouched'!$C$50</definedName>
    <definedName name="URR_conv_oil" localSheetId="1">World!$C$50</definedName>
    <definedName name="URR_unconv_gas" localSheetId="3">Europe!$C$59</definedName>
    <definedName name="URR_unconv_gas" localSheetId="2">'Quebec untouched'!$C$59</definedName>
    <definedName name="URR_unconv_gas" localSheetId="1">World!$C$59</definedName>
    <definedName name="URR_unconv_oil" localSheetId="3">Europe!$C$52</definedName>
    <definedName name="URR_unconv_oil" localSheetId="2">'Quebec untouched'!$C$52</definedName>
    <definedName name="URR_unconv_oil" localSheetId="1">World!$C$52</definedName>
    <definedName name="URR_uranium" localSheetId="3">Europe!$C$67</definedName>
    <definedName name="URR_uranium" localSheetId="2">'Quebec untouched'!$C$67</definedName>
    <definedName name="URR_uranium" localSheetId="1">World!$C$67</definedName>
  </definedNames>
  <calcPr calcId="191029"/>
  <extLst>
    <ext uri="GoogleSheetsCustomDataVersion2">
      <go:sheetsCustomData xmlns:go="http://customooxmlschemas.google.com/" r:id="rId9" roundtripDataChecksum="O+xkpprwwdBhA+N+ZesngCgSJfSxsplI11aBIHxiAgU="/>
    </ext>
  </extLst>
</workbook>
</file>

<file path=xl/calcChain.xml><?xml version="1.0" encoding="utf-8"?>
<calcChain xmlns="http://schemas.openxmlformats.org/spreadsheetml/2006/main">
  <c r="C150" i="5" l="1"/>
  <c r="C148" i="5"/>
  <c r="C145" i="5"/>
  <c r="C143" i="5"/>
  <c r="C141" i="5"/>
  <c r="B136" i="5"/>
  <c r="B134" i="5"/>
  <c r="C132" i="5"/>
  <c r="C130" i="5"/>
  <c r="C128" i="5"/>
  <c r="C126" i="5"/>
  <c r="C124" i="5"/>
  <c r="C122" i="5"/>
  <c r="B119" i="5"/>
  <c r="C117" i="5"/>
  <c r="C115" i="5"/>
  <c r="C113" i="5"/>
  <c r="C111" i="5"/>
  <c r="C109" i="5"/>
  <c r="C107" i="5"/>
  <c r="C99" i="5"/>
  <c r="C97" i="5"/>
  <c r="C94" i="5"/>
  <c r="C92" i="5"/>
  <c r="C90" i="5"/>
  <c r="B85" i="5"/>
  <c r="B83" i="5"/>
  <c r="C81" i="5"/>
  <c r="C79" i="5"/>
  <c r="C77" i="5"/>
  <c r="C75" i="5"/>
  <c r="C73" i="5"/>
  <c r="C71" i="5"/>
  <c r="B68" i="5"/>
  <c r="C66" i="5"/>
  <c r="C64" i="5"/>
  <c r="C62" i="5"/>
  <c r="C60" i="5"/>
  <c r="C58" i="5"/>
  <c r="C56" i="5"/>
  <c r="B35" i="5"/>
  <c r="X130" i="4"/>
  <c r="W130" i="4" s="1"/>
  <c r="V130" i="4" s="1"/>
  <c r="U130" i="4" s="1"/>
  <c r="T130" i="4" s="1"/>
  <c r="S130" i="4" s="1"/>
  <c r="R130" i="4" s="1"/>
  <c r="Q130" i="4" s="1"/>
  <c r="P130" i="4" s="1"/>
  <c r="O130" i="4" s="1"/>
  <c r="N130" i="4" s="1"/>
  <c r="M130" i="4" s="1"/>
  <c r="L130" i="4" s="1"/>
  <c r="K130" i="4" s="1"/>
  <c r="J130" i="4" s="1"/>
  <c r="I130" i="4" s="1"/>
  <c r="H130" i="4" s="1"/>
  <c r="G130" i="4" s="1"/>
  <c r="F130" i="4" s="1"/>
  <c r="E130" i="4" s="1"/>
  <c r="D130" i="4" s="1"/>
  <c r="C130" i="4" s="1"/>
  <c r="Y113" i="4"/>
  <c r="D20" i="4"/>
  <c r="E20" i="4" s="1"/>
  <c r="F20" i="4" s="1"/>
  <c r="G20" i="4" s="1"/>
  <c r="H20" i="4" s="1"/>
  <c r="I20" i="4" s="1"/>
  <c r="J20" i="4" s="1"/>
  <c r="K20" i="4" s="1"/>
  <c r="C20" i="4"/>
  <c r="X130" i="3"/>
  <c r="W130" i="3"/>
  <c r="V130" i="3" s="1"/>
  <c r="U130" i="3" s="1"/>
  <c r="T130" i="3" s="1"/>
  <c r="S130" i="3" s="1"/>
  <c r="R130" i="3" s="1"/>
  <c r="Q130" i="3" s="1"/>
  <c r="P130" i="3" s="1"/>
  <c r="O130" i="3" s="1"/>
  <c r="N130" i="3" s="1"/>
  <c r="M130" i="3" s="1"/>
  <c r="L130" i="3" s="1"/>
  <c r="K130" i="3" s="1"/>
  <c r="J130" i="3" s="1"/>
  <c r="I130" i="3" s="1"/>
  <c r="H130" i="3" s="1"/>
  <c r="G130" i="3" s="1"/>
  <c r="F130" i="3" s="1"/>
  <c r="E130" i="3" s="1"/>
  <c r="D130" i="3" s="1"/>
  <c r="C130" i="3" s="1"/>
  <c r="Y113" i="3"/>
  <c r="G31" i="3"/>
  <c r="C20" i="3"/>
  <c r="D20" i="3" s="1"/>
  <c r="E20" i="3" s="1"/>
  <c r="F20" i="3" s="1"/>
  <c r="G20" i="3" s="1"/>
  <c r="H20" i="3" s="1"/>
  <c r="I20" i="3" s="1"/>
  <c r="J20" i="3" s="1"/>
  <c r="K20" i="3" s="1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Y106" i="2"/>
  <c r="C20" i="2"/>
  <c r="D20" i="2" s="1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B11" i="2"/>
  <c r="B10" i="2"/>
  <c r="B9" i="2"/>
  <c r="B8" i="2"/>
  <c r="B7" i="2"/>
  <c r="B6" i="2"/>
  <c r="B4" i="2"/>
  <c r="G37" i="1"/>
  <c r="C29" i="1"/>
  <c r="M13" i="1"/>
  <c r="N13" i="1" s="1"/>
  <c r="O13" i="1" s="1"/>
  <c r="P13" i="1" s="1"/>
  <c r="Q13" i="1" s="1"/>
  <c r="R13" i="1" s="1"/>
  <c r="S13" i="1" s="1"/>
  <c r="L13" i="1"/>
  <c r="K13" i="1"/>
  <c r="I13" i="1"/>
  <c r="H13" i="1" s="1"/>
  <c r="P11" i="1"/>
  <c r="Q11" i="1" s="1"/>
  <c r="R11" i="1" s="1"/>
  <c r="S11" i="1" s="1"/>
  <c r="O11" i="1"/>
  <c r="H11" i="1"/>
  <c r="D11" i="1"/>
  <c r="O10" i="1"/>
  <c r="P10" i="1" s="1"/>
  <c r="Q10" i="1" s="1"/>
  <c r="R10" i="1" s="1"/>
  <c r="S10" i="1" s="1"/>
  <c r="H10" i="1"/>
  <c r="O9" i="1"/>
  <c r="P9" i="1" s="1"/>
  <c r="Q9" i="1" s="1"/>
  <c r="R9" i="1" s="1"/>
  <c r="S9" i="1" s="1"/>
  <c r="H9" i="1"/>
  <c r="P8" i="1"/>
  <c r="Q8" i="1" s="1"/>
  <c r="R8" i="1" s="1"/>
  <c r="S8" i="1" s="1"/>
  <c r="O8" i="1"/>
  <c r="H8" i="1"/>
  <c r="Q7" i="1"/>
  <c r="R7" i="1" s="1"/>
  <c r="S7" i="1" s="1"/>
  <c r="P7" i="1"/>
  <c r="O7" i="1"/>
  <c r="H7" i="1"/>
  <c r="O6" i="1"/>
  <c r="P6" i="1" s="1"/>
  <c r="Q6" i="1" s="1"/>
  <c r="R6" i="1" s="1"/>
  <c r="S6" i="1" s="1"/>
  <c r="H6" i="1"/>
  <c r="O5" i="1"/>
  <c r="P5" i="1" s="1"/>
  <c r="Q5" i="1" s="1"/>
  <c r="R5" i="1" s="1"/>
  <c r="S5" i="1" s="1"/>
  <c r="H5" i="1"/>
  <c r="P4" i="1"/>
  <c r="Q4" i="1" s="1"/>
  <c r="R4" i="1" s="1"/>
  <c r="S4" i="1" s="1"/>
  <c r="O4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ID#AAAAyHH1SvU
Iñigo    (2023-05-29 02:22:43)
pendiente Carlos de enviarme las refs.</t>
        </r>
      </text>
    </comment>
    <comment ref="C2" authorId="0" shapeId="0" xr:uid="{00000000-0006-0000-0000-00001F000000}">
      <text>
        <r>
          <rPr>
            <sz val="11"/>
            <color rgb="FF000000"/>
            <rFont val="Calibri"/>
            <family val="2"/>
            <scheme val="minor"/>
          </rPr>
          <t>======
ID#AAAAx9f-qLg
Iñigo    (2023-05-29 02:22:41)
IPCC SRREN (2011)</t>
        </r>
      </text>
    </comment>
    <comment ref="D2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======
ID#AAAAyHH1SlI
Iñigo    (2023-05-29 02:22:42)
Capellán-Pérez et al (2017)</t>
        </r>
      </text>
    </comment>
    <comment ref="F2" authorId="0" shapeId="0" xr:uid="{00000000-0006-0000-0000-000020000000}">
      <text>
        <r>
          <rPr>
            <sz val="11"/>
            <color rgb="FF000000"/>
            <rFont val="Calibri"/>
            <family val="2"/>
            <scheme val="minor"/>
          </rPr>
          <t>======
ID#AAAAx9f-qLA
Iñigo    (2023-05-29 02:22:41)
Table 8 from REN21 (2017); RENEWABLES GLOBAL
FUTURES REPORT
GREAT DEBATES TOWARDS
100 % RENEWABLE ENERGY</t>
        </r>
      </text>
    </comment>
    <comment ref="H2" authorId="0" shapeId="0" xr:uid="{00000000-0006-0000-0000-000011000000}">
      <text>
        <r>
          <rPr>
            <sz val="11"/>
            <color rgb="FF000000"/>
            <rFont val="Calibri"/>
            <family val="2"/>
            <scheme val="minor"/>
          </rPr>
          <t>======
ID#AAAAyHH1SlA
Iñigo    (2023-05-29 02:22:42)
RES: Teske et al (2011)
Nuclear: (Schneider and Froggatt, 2014).</t>
        </r>
      </text>
    </comment>
    <comment ref="B4" authorId="0" shapeId="0" xr:uid="{00000000-0006-0000-0000-000018000000}">
      <text>
        <r>
          <rPr>
            <sz val="11"/>
            <color rgb="FF000000"/>
            <rFont val="Calibri"/>
            <family val="2"/>
            <scheme val="minor"/>
          </rPr>
          <t>======
ID#AAAAyHH1ShQ
Iñigo    (2023-05-29 02:22:42)
Anex 3 de Valeros</t>
        </r>
      </text>
    </comment>
    <comment ref="B5" authorId="0" shapeId="0" xr:uid="{00000000-0006-0000-0000-000012000000}">
      <text>
        <r>
          <rPr>
            <sz val="11"/>
            <color rgb="FF000000"/>
            <rFont val="Calibri"/>
            <family val="2"/>
            <scheme val="minor"/>
          </rPr>
          <t>======
ID#AAAAyHH1Skk
Iñigo    (2023-05-29 02:22:42)
basándose en Valeros, parte baja</t>
        </r>
      </text>
    </comment>
    <comment ref="B6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======
ID#AAAAyHH1StY
Iñigo    (2023-05-29 02:22:43)
de Castro et al (2014)</t>
        </r>
      </text>
    </comment>
    <comment ref="B7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ID#AAAAyHH1Sus
Iñigo    (2023-05-29 02:22:43)
own estimation (see D4.1)</t>
        </r>
      </text>
    </comment>
    <comment ref="D10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======
ID#AAAAyHH1StA
Iñigo    (2023-05-29 02:22:43)
de Castro et al. (2013)</t>
        </r>
      </text>
    </comment>
    <comment ref="D11" authorId="0" shapeId="0" xr:uid="{00000000-0006-0000-0000-000016000000}">
      <text>
        <r>
          <rPr>
            <sz val="11"/>
            <color rgb="FF000000"/>
            <rFont val="Calibri"/>
            <family val="2"/>
            <scheme val="minor"/>
          </rPr>
          <t>======
ID#AAAAyHH1SiE
Iñigo    (2023-05-29 02:22:42)
De Castro et al (2013); De Castro &amp; Capellán-Pérez (2017)</t>
        </r>
      </text>
    </comment>
    <comment ref="F13" authorId="0" shapeId="0" xr:uid="{00000000-0006-0000-0000-00001C000000}">
      <text>
        <r>
          <rPr>
            <sz val="11"/>
            <color rgb="FF000000"/>
            <rFont val="Calibri"/>
            <family val="2"/>
            <scheme val="minor"/>
          </rPr>
          <t>======
ID#AAAAyHH1Sdw
Iñigo    (2023-05-29 02:22:42)
Schneider &amp; Froggatt (2016)</t>
        </r>
      </text>
    </comment>
    <comment ref="G13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======
ID#AAAAyHH1Sm8
Iñigo    (2023-05-29 02:22:42)
Schneider &amp; Froggatt (2016)</t>
        </r>
      </text>
    </comment>
    <comment ref="B15" authorId="0" shapeId="0" xr:uid="{00000000-0006-0000-0000-00001A000000}">
      <text>
        <r>
          <rPr>
            <sz val="11"/>
            <color rgb="FF000000"/>
            <rFont val="Calibri"/>
            <family val="2"/>
            <scheme val="minor"/>
          </rPr>
          <t>======
ID#AAAAyHH1Seo
Iñigo    (2023-05-29 02:22:42)
own estimation:
Como la eficiencia de conversión puede ser del 50% (2,5 veces) y la Cp es la mitad, entonces sería 1,25 veces mayor que la EROEI solar, como tiene materiales más comunes (silicon wafer se lo ahorra) y no necesita grid etc. Multiplicar x1,5 la EROEI fotovoltaica puede ser más o menos el EROEI de esta tecnología.</t>
        </r>
      </text>
    </comment>
    <comment ref="B17" authorId="0" shapeId="0" xr:uid="{00000000-0006-0000-0000-000017000000}">
      <text>
        <r>
          <rPr>
            <sz val="11"/>
            <color rgb="FF000000"/>
            <rFont val="Calibri"/>
            <family val="2"/>
            <scheme val="minor"/>
          </rPr>
          <t>======
ID#AAAAyHH1SiM
Iñigo    (2023-05-29 02:22:42)
multiplico por 5 la de biofuel, habría que buscar</t>
        </r>
      </text>
    </comment>
    <comment ref="A26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======
ID#AAAAyHH1SuQ
Iñigo    (2023-05-29 02:22:43)
Holttinen et al (2011)</t>
        </r>
      </text>
    </comment>
    <comment ref="A30" authorId="0" shapeId="0" xr:uid="{00000000-0006-0000-0000-000013000000}">
      <text>
        <r>
          <rPr>
            <sz val="11"/>
            <color rgb="FF000000"/>
            <rFont val="Calibri"/>
            <family val="2"/>
            <scheme val="minor"/>
          </rPr>
          <t>======
ID#AAAAyHH1SkA
Iñigo    (2023-05-29 02:22:42)
own calculations from IEA balances</t>
        </r>
      </text>
    </comment>
    <comment ref="G30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======
ID#AAAAyHH1Sr8
Iñigo    (2023-05-29 02:22:43)
own estimation</t>
        </r>
      </text>
    </comment>
    <comment ref="A31" authorId="0" shapeId="0" xr:uid="{00000000-0006-0000-0000-000019000000}">
      <text>
        <r>
          <rPr>
            <sz val="11"/>
            <color rgb="FF000000"/>
            <rFont val="Calibri"/>
            <family val="2"/>
            <scheme val="minor"/>
          </rPr>
          <t>======
ID#AAAAyHH1Se0
IdB    (2023-05-29 02:22:42)
own calculations from IEA balances</t>
        </r>
      </text>
    </comment>
    <comment ref="E31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======
ID#AAAAyHH1Ss0
Iñigo    (2023-05-29 02:22:43)
Denholm and Margolis, 2008</t>
        </r>
      </text>
    </comment>
    <comment ref="A32" authorId="0" shapeId="0" xr:uid="{00000000-0006-0000-0000-00001E000000}">
      <text>
        <r>
          <rPr>
            <sz val="11"/>
            <color rgb="FF000000"/>
            <rFont val="Calibri"/>
            <family val="2"/>
            <scheme val="minor"/>
          </rPr>
          <t>======
ID#AAAAyHH1Sck
IdB    (2023-05-29 02:22:42)
IEA balances</t>
        </r>
      </text>
    </comment>
    <comment ref="A33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======
ID#AAAAyHH1SoU
IdB    (2023-05-29 02:22:42)
IEA balances</t>
        </r>
      </text>
    </comment>
    <comment ref="G33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======
ID#AAAAyHH1Suc
Iñigo    (2023-05-29 02:22:43)
own estimations, see comments in "Minerals" sheet</t>
        </r>
      </text>
    </comment>
    <comment ref="C35" authorId="0" shapeId="0" xr:uid="{00000000-0006-0000-0000-00001D000000}">
      <text>
        <r>
          <rPr>
            <sz val="11"/>
            <color rgb="FF000000"/>
            <rFont val="Calibri"/>
            <family val="2"/>
            <scheme val="minor"/>
          </rPr>
          <t>======
ID#AAAAyHH1Sc0
Iñigo    (2023-05-29 02:22:42)
(IEA balances, average 1995-2015)</t>
        </r>
      </text>
    </comment>
    <comment ref="G37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======
ID#AAAAyHH1SqU
Iñigo    (2023-05-29 02:22:42)
Nielsen &amp; WoLiM 1.5</t>
        </r>
      </text>
    </comment>
    <comment ref="C38" authorId="0" shapeId="0" xr:uid="{00000000-0006-0000-0000-00000F000000}">
      <text>
        <r>
          <rPr>
            <sz val="11"/>
            <color rgb="FF000000"/>
            <rFont val="Calibri"/>
            <family val="2"/>
            <scheme val="minor"/>
          </rPr>
          <t>======
ID#AAAAyHH1Slg
Iñigo    (2023-05-29 02:22:42)
EIA criteria</t>
        </r>
      </text>
    </comment>
    <comment ref="A45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======
ID#AAAAyHH1Smk
IdB    (2023-05-29 02:22:42)
de Castro &amp; Carpintero (2014).</t>
        </r>
      </text>
    </comment>
    <comment ref="A46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======
ID#AAAAyHH1SqY
IdB    (2023-05-29 02:22:42)
Field et al. (2008)</t>
        </r>
      </text>
    </comment>
    <comment ref="A47" authorId="0" shapeId="0" xr:uid="{00000000-0006-0000-0000-000015000000}">
      <text>
        <r>
          <rPr>
            <sz val="11"/>
            <color rgb="FF000000"/>
            <rFont val="Calibri"/>
            <family val="2"/>
            <scheme val="minor"/>
          </rPr>
          <t>======
ID#AAAAyHH1SiY
IdB    (2023-05-29 02:22:42)
de Castro et al (2014)</t>
        </r>
      </text>
    </comment>
    <comment ref="A48" authorId="0" shapeId="0" xr:uid="{00000000-0006-0000-0000-00001B000000}">
      <text>
        <r>
          <rPr>
            <sz val="11"/>
            <color rgb="FF000000"/>
            <rFont val="Calibri"/>
            <family val="2"/>
            <scheme val="minor"/>
          </rPr>
          <t>======
ID#AAAAyHH1SeY
IdB    (2023-05-29 02:22:42)
Field et al (2008)</t>
        </r>
      </text>
    </comment>
    <comment ref="A51" authorId="0" shapeId="0" xr:uid="{00000000-0006-0000-0000-000014000000}">
      <text>
        <r>
          <rPr>
            <sz val="11"/>
            <color rgb="FF000000"/>
            <rFont val="Calibri"/>
            <family val="2"/>
            <scheme val="minor"/>
          </rPr>
          <t>======
ID#AAAAyHH1SjU
IdB    (2023-05-29 02:22:42)
Mills et al (2012)</t>
        </r>
      </text>
    </comment>
    <comment ref="A52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======
ID#AAAAyHH1Sog
IdB    (2023-05-29 02:22:42)
WEO (2010) gives a 2.8% for the year 2009 and BP (2007) 2.6%. The value 2.7% is taken.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fxtnO7dWKOKUD6gxteJ6gbXGy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100-00004C000000}">
      <text>
        <r>
          <rPr>
            <sz val="11"/>
            <color rgb="FF000000"/>
            <rFont val="Calibri"/>
            <family val="2"/>
            <scheme val="minor"/>
          </rPr>
          <t>======
ID#AAAAyHH1Sg8
Iñigo    (2023-05-29 02:22:42)
REN21 2016</t>
        </r>
      </text>
    </comment>
    <comment ref="C6" authorId="0" shapeId="0" xr:uid="{00000000-0006-0000-0100-00003E000000}">
      <text>
        <r>
          <rPr>
            <sz val="11"/>
            <color rgb="FF000000"/>
            <rFont val="Calibri"/>
            <family val="2"/>
            <scheme val="minor"/>
          </rPr>
          <t>======
ID#AAAAyHH1SjY
Iñigo    (2023-05-29 02:22:42)
estimación de Carlos</t>
        </r>
      </text>
    </comment>
    <comment ref="C7" authorId="0" shapeId="0" xr:uid="{00000000-0006-0000-0100-00001C000000}">
      <text>
        <r>
          <rPr>
            <sz val="11"/>
            <color rgb="FF000000"/>
            <rFont val="Calibri"/>
            <family val="2"/>
            <scheme val="minor"/>
          </rPr>
          <t>======
ID#AAAAyHH1SpA
Iñigo    (2023-05-29 02:22:42)
Literature review (see TR)</t>
        </r>
      </text>
    </comment>
    <comment ref="C8" authorId="0" shapeId="0" xr:uid="{00000000-0006-0000-0100-000056000000}">
      <text>
        <r>
          <rPr>
            <sz val="11"/>
            <color rgb="FF000000"/>
            <rFont val="Calibri"/>
            <family val="2"/>
            <scheme val="minor"/>
          </rPr>
          <t>======
ID#AAAAyHH1Sfg
Iñigo    (2023-05-29 02:22:42)
Boccard (2009)</t>
        </r>
      </text>
    </comment>
    <comment ref="C9" authorId="0" shapeId="0" xr:uid="{00000000-0006-0000-0100-000032000000}">
      <text>
        <r>
          <rPr>
            <sz val="11"/>
            <color rgb="FF000000"/>
            <rFont val="Calibri"/>
            <family val="2"/>
            <scheme val="minor"/>
          </rPr>
          <t>======
ID#AAAAyHH1Sko
Iñigo    (2023-05-29 02:22:42)
own estimation</t>
        </r>
      </text>
    </comment>
    <comment ref="C10" authorId="0" shapeId="0" xr:uid="{00000000-0006-0000-0100-000061000000}">
      <text>
        <r>
          <rPr>
            <sz val="11"/>
            <color rgb="FF000000"/>
            <rFont val="Calibri"/>
            <family val="2"/>
            <scheme val="minor"/>
          </rPr>
          <t>======
ID#AAAAyHH1Sdc
Iñigo    (2023-05-29 02:22:42)
BP (2016) and own estimation assuming that the power installed in each year has been functioning just 1/2 of the year) is 14%.</t>
        </r>
      </text>
    </comment>
    <comment ref="C11" authorId="0" shapeId="0" xr:uid="{00000000-0006-0000-0100-00002F000000}">
      <text>
        <r>
          <rPr>
            <sz val="11"/>
            <color rgb="FF000000"/>
            <rFont val="Calibri"/>
            <family val="2"/>
            <scheme val="minor"/>
          </rPr>
          <t>======
ID#AAAAyHH1SlQ
Iñigo    (2023-05-29 02:22:42)
de Castro &amp; Capellán-Pérez (2017) Working paper</t>
        </r>
      </text>
    </comment>
    <comment ref="B14" authorId="0" shapeId="0" xr:uid="{00000000-0006-0000-0100-000017000000}">
      <text>
        <r>
          <rPr>
            <sz val="11"/>
            <color rgb="FF000000"/>
            <rFont val="Calibri"/>
            <family val="2"/>
            <scheme val="minor"/>
          </rPr>
          <t>======
ID#AAAAyHH1SqE
Iñigo    (2023-05-29 02:22:42)
De Castro et al (2013); De Castro &amp; Capellán-Pérez (2017)</t>
        </r>
      </text>
    </comment>
    <comment ref="C14" authorId="0" shapeId="0" xr:uid="{00000000-0006-0000-0100-00000B000000}">
      <text>
        <r>
          <rPr>
            <sz val="11"/>
            <color rgb="FF000000"/>
            <rFont val="Calibri"/>
            <family val="2"/>
            <scheme val="minor"/>
          </rPr>
          <t>======
ID#AAAAyHH1Sto
Iñigo    (2023-05-29 02:22:43)
de Castro &amp; Capellán-Pérez (2017) Working paper</t>
        </r>
      </text>
    </comment>
    <comment ref="C15" authorId="0" shapeId="0" xr:uid="{00000000-0006-0000-0100-000045000000}">
      <text>
        <r>
          <rPr>
            <sz val="11"/>
            <color rgb="FF000000"/>
            <rFont val="Calibri"/>
            <family val="2"/>
            <scheme val="minor"/>
          </rPr>
          <t>======
ID#AAAAyHH1Shk
Iñigo    (2023-05-29 02:22:42)
Carlos estima 0.094.. Ver "calcs-intermittence+EROI-RES elec+CCC.xlsx"
tiene que ver con la definición de energía primaria y final creo.</t>
        </r>
      </text>
    </comment>
    <comment ref="C16" authorId="0" shapeId="0" xr:uid="{00000000-0006-0000-0100-000033000000}">
      <text>
        <r>
          <rPr>
            <sz val="11"/>
            <color rgb="FF000000"/>
            <rFont val="Calibri"/>
            <family val="2"/>
            <scheme val="minor"/>
          </rPr>
          <t>======
ID#AAAAyHH1Sks
Iñigo    (2023-05-29 02:22:42)
Carlos estima 0.39.. Ver "calcs-intermittence+EROI-RES elec+CCC.xlsx"</t>
        </r>
      </text>
    </comment>
    <comment ref="G26" authorId="0" shapeId="0" xr:uid="{00000000-0006-0000-0100-000019000000}">
      <text>
        <r>
          <rPr>
            <sz val="11"/>
            <color rgb="FF000000"/>
            <rFont val="Calibri"/>
            <family val="2"/>
            <scheme val="minor"/>
          </rPr>
          <t>======
ID#AAAAyHH1Spk
Iñigo    (2023-05-29 02:22:42)
IEA (2014)</t>
        </r>
      </text>
    </comment>
    <comment ref="G27" authorId="0" shapeId="0" xr:uid="{00000000-0006-0000-0100-00006B000000}">
      <text>
        <r>
          <rPr>
            <sz val="11"/>
            <color rgb="FF000000"/>
            <rFont val="Calibri"/>
            <family val="2"/>
            <scheme val="minor"/>
          </rPr>
          <t>======
ID#AAAAyHH1Sb0
Iñigo    (2023-05-29 02:22:42)
SHC (2016)</t>
        </r>
      </text>
    </comment>
    <comment ref="A28" authorId="0" shapeId="0" xr:uid="{00000000-0006-0000-0100-000011000000}">
      <text>
        <r>
          <rPr>
            <sz val="11"/>
            <color rgb="FF000000"/>
            <rFont val="Calibri"/>
            <family val="2"/>
            <scheme val="minor"/>
          </rPr>
          <t>======
ID#AAAAyHH1Srs
Iñigo    (2023-05-29 02:22:43)
own estimation derived from IEA balances</t>
        </r>
      </text>
    </comment>
    <comment ref="A29" authorId="0" shapeId="0" xr:uid="{00000000-0006-0000-0100-000071000000}">
      <text>
        <r>
          <rPr>
            <sz val="11"/>
            <color rgb="FF000000"/>
            <rFont val="Calibri"/>
            <family val="2"/>
            <scheme val="minor"/>
          </rPr>
          <t>======
ID#AAAAx9f-PsA
IdB    (2023-05-29 02:22:41)
Field et al., 2008</t>
        </r>
      </text>
    </comment>
    <comment ref="G29" authorId="0" shapeId="0" xr:uid="{00000000-0006-0000-0100-000057000000}">
      <text>
        <r>
          <rPr>
            <sz val="11"/>
            <color rgb="FF000000"/>
            <rFont val="Calibri"/>
            <family val="2"/>
            <scheme val="minor"/>
          </rPr>
          <t>======
ID#AAAAyHH1Sfk
Autor    (2023-05-29 02:22:42)
IRENA database</t>
        </r>
      </text>
    </comment>
    <comment ref="A37" authorId="0" shapeId="0" xr:uid="{00000000-0006-0000-0100-000049000000}">
      <text>
        <r>
          <rPr>
            <sz val="11"/>
            <color rgb="FF000000"/>
            <rFont val="Calibri"/>
            <family val="2"/>
            <scheme val="minor"/>
          </rPr>
          <t>======
ID#AAAAyHH1ShU
Iñigo    (2023-05-29 02:22:42)
1990-2014 average from IEA balances</t>
        </r>
      </text>
    </comment>
    <comment ref="E37" authorId="0" shapeId="0" xr:uid="{00000000-0006-0000-0100-000028000000}">
      <text>
        <r>
          <rPr>
            <sz val="11"/>
            <color rgb="FF000000"/>
            <rFont val="Calibri"/>
            <family val="2"/>
            <scheme val="minor"/>
          </rPr>
          <t>======
ID#AAAAyHH1Sm0
Iñigo    (2023-05-29 02:22:42)
1990-2014 average from own calculations from IEA balances</t>
        </r>
      </text>
    </comment>
    <comment ref="A38" authorId="0" shapeId="0" xr:uid="{00000000-0006-0000-0100-000025000000}">
      <text>
        <r>
          <rPr>
            <sz val="11"/>
            <color rgb="FF000000"/>
            <rFont val="Calibri"/>
            <family val="2"/>
            <scheme val="minor"/>
          </rPr>
          <t>======
ID#AAAAyHH1SnY
Iñigo    (2023-05-29 02:22:42)
1990-2014 average from IEA balances</t>
        </r>
      </text>
    </comment>
    <comment ref="E38" authorId="0" shapeId="0" xr:uid="{00000000-0006-0000-0100-00004E000000}">
      <text>
        <r>
          <rPr>
            <sz val="11"/>
            <color rgb="FF000000"/>
            <rFont val="Calibri"/>
            <family val="2"/>
            <scheme val="minor"/>
          </rPr>
          <t>======
ID#AAAAyHH1Sg0
Iñigo    (2023-05-29 02:22:42)
1990-2014 average from own calculations from IEA balances</t>
        </r>
      </text>
    </comment>
    <comment ref="A39" authorId="0" shapeId="0" xr:uid="{00000000-0006-0000-0100-00001A000000}">
      <text>
        <r>
          <rPr>
            <sz val="11"/>
            <color rgb="FF000000"/>
            <rFont val="Calibri"/>
            <family val="2"/>
            <scheme val="minor"/>
          </rPr>
          <t>======
ID#AAAAyHH1SpU
Iñigo    (2023-05-29 02:22:42)
1990-2014 average from IEA balances</t>
        </r>
      </text>
    </comment>
    <comment ref="E39" authorId="0" shapeId="0" xr:uid="{00000000-0006-0000-0100-00002B000000}">
      <text>
        <r>
          <rPr>
            <sz val="11"/>
            <color rgb="FF000000"/>
            <rFont val="Calibri"/>
            <family val="2"/>
            <scheme val="minor"/>
          </rPr>
          <t>======
ID#AAAAyHH1SmQ
Iñigo    (2023-05-29 02:22:42)
1990-2014 average from own calculations from IEA balances</t>
        </r>
      </text>
    </comment>
    <comment ref="A40" authorId="0" shapeId="0" xr:uid="{00000000-0006-0000-0100-000024000000}">
      <text>
        <r>
          <rPr>
            <sz val="11"/>
            <color rgb="FF000000"/>
            <rFont val="Calibri"/>
            <family val="2"/>
            <scheme val="minor"/>
          </rPr>
          <t>======
ID#AAAAyHH1Sng
Iñigo    (2023-05-29 02:22:42)
1990-2014 average from IEA balances</t>
        </r>
      </text>
    </comment>
    <comment ref="E40" authorId="0" shapeId="0" xr:uid="{00000000-0006-0000-0100-000029000000}">
      <text>
        <r>
          <rPr>
            <sz val="11"/>
            <color rgb="FF000000"/>
            <rFont val="Calibri"/>
            <family val="2"/>
            <scheme val="minor"/>
          </rPr>
          <t>======
ID#AAAAyHH1Smg
Iñigo    (2023-05-29 02:22:42)
1990-2014 average from own calculations from IEA balances</t>
        </r>
      </text>
    </comment>
    <comment ref="A41" authorId="0" shapeId="0" xr:uid="{00000000-0006-0000-0100-00005C000000}">
      <text>
        <r>
          <rPr>
            <sz val="11"/>
            <color rgb="FF000000"/>
            <rFont val="Calibri"/>
            <family val="2"/>
            <scheme val="minor"/>
          </rPr>
          <t>======
ID#AAAAyHH1Ses
Iñigo    (2023-05-29 02:22:42)
1990-2014 average from IEA balances</t>
        </r>
      </text>
    </comment>
    <comment ref="E41" authorId="0" shapeId="0" xr:uid="{00000000-0006-0000-0100-00006D000000}">
      <text>
        <r>
          <rPr>
            <sz val="11"/>
            <color rgb="FF000000"/>
            <rFont val="Calibri"/>
            <family val="2"/>
            <scheme val="minor"/>
          </rPr>
          <t>======
ID#AAAAx9f-Psw
Iñigo    (2023-05-29 02:22:41)
1990-2014 average from own calculations from IEA balances</t>
        </r>
      </text>
    </comment>
    <comment ref="A42" authorId="0" shapeId="0" xr:uid="{00000000-0006-0000-0100-00001B000000}">
      <text>
        <r>
          <rPr>
            <sz val="11"/>
            <color rgb="FF000000"/>
            <rFont val="Calibri"/>
            <family val="2"/>
            <scheme val="minor"/>
          </rPr>
          <t>======
ID#AAAAyHH1Spg
Iñigo    (2023-05-29 02:22:42)
1990-2014 average from IEA balances</t>
        </r>
      </text>
    </comment>
    <comment ref="E42" authorId="0" shapeId="0" xr:uid="{00000000-0006-0000-0100-000018000000}">
      <text>
        <r>
          <rPr>
            <sz val="11"/>
            <color rgb="FF000000"/>
            <rFont val="Calibri"/>
            <family val="2"/>
            <scheme val="minor"/>
          </rPr>
          <t>======
ID#AAAAyHH1SqI
Iñigo    (2023-05-29 02:22:42)
1990-2014 average from own calculations from IEA balances</t>
        </r>
      </text>
    </comment>
    <comment ref="A43" authorId="0" shapeId="0" xr:uid="{00000000-0006-0000-0100-000039000000}">
      <text>
        <r>
          <rPr>
            <sz val="11"/>
            <color rgb="FF000000"/>
            <rFont val="Calibri"/>
            <family val="2"/>
            <scheme val="minor"/>
          </rPr>
          <t>======
ID#AAAAyHH1SkM
Iñigo    (2023-05-29 02:22:42)
1990-2014 average from IEA balances</t>
        </r>
      </text>
    </comment>
    <comment ref="E43" authorId="0" shapeId="0" xr:uid="{00000000-0006-0000-0100-00004A000000}">
      <text>
        <r>
          <rPr>
            <sz val="11"/>
            <color rgb="FF000000"/>
            <rFont val="Calibri"/>
            <family val="2"/>
            <scheme val="minor"/>
          </rPr>
          <t>======
ID#AAAAyHH1ShI
Iñigo    (2023-05-29 02:22:42)
1990-2014 average from own calculations from IEA balances</t>
        </r>
      </text>
    </comment>
    <comment ref="A44" authorId="0" shapeId="0" xr:uid="{00000000-0006-0000-0100-000063000000}">
      <text>
        <r>
          <rPr>
            <sz val="11"/>
            <color rgb="FF000000"/>
            <rFont val="Calibri"/>
            <family val="2"/>
            <scheme val="minor"/>
          </rPr>
          <t>======
ID#AAAAyHH1SdM
Iñigo    (2023-05-29 02:22:42)
1990-2014 average from IEA balances</t>
        </r>
      </text>
    </comment>
    <comment ref="E44" authorId="0" shapeId="0" xr:uid="{00000000-0006-0000-0100-000021000000}">
      <text>
        <r>
          <rPr>
            <sz val="11"/>
            <color rgb="FF000000"/>
            <rFont val="Calibri"/>
            <family val="2"/>
            <scheme val="minor"/>
          </rPr>
          <t>======
ID#AAAAyHH1SoI
Iñigo    (2023-05-29 02:22:42)
1990-2014 average from own calculations from IEA balances</t>
        </r>
      </text>
    </comment>
    <comment ref="A50" authorId="0" shapeId="0" xr:uid="{00000000-0006-0000-0100-00005D000000}">
      <text>
        <r>
          <rPr>
            <sz val="11"/>
            <color rgb="FF000000"/>
            <rFont val="Calibri"/>
            <family val="2"/>
            <scheme val="minor"/>
          </rPr>
          <t>======
ID#AAAAyHH1Sek
EM    (2023-05-29 02:22:42)
IdB: Maggio12 URR (paper) y max extraction (own elaboration from paper)</t>
        </r>
      </text>
    </comment>
    <comment ref="A52" authorId="0" shapeId="0" xr:uid="{00000000-0006-0000-0100-00006A000000}">
      <text>
        <r>
          <rPr>
            <sz val="11"/>
            <color rgb="FF000000"/>
            <rFont val="Calibri"/>
            <family val="2"/>
            <scheme val="minor"/>
          </rPr>
          <t>======
ID#AAAAyHH1Sb4
EM    (2023-05-29 02:22:42)
IdB: Mohr et al, 15 URR (paper) y max extraction (own elaboration from paper)</t>
        </r>
      </text>
    </comment>
    <comment ref="A54" authorId="0" shapeId="0" xr:uid="{00000000-0006-0000-0100-000068000000}">
      <text>
        <r>
          <rPr>
            <sz val="11"/>
            <color rgb="FF000000"/>
            <rFont val="Calibri"/>
            <family val="2"/>
            <scheme val="minor"/>
          </rPr>
          <t>======
ID#AAAAyHH1ScM
EM    (2023-05-29 02:22:42)
IdB: Laherrere 2006 URR (paper) y max extraction (own elaboration from paper)</t>
        </r>
      </text>
    </comment>
    <comment ref="A57" authorId="0" shapeId="0" xr:uid="{00000000-0006-0000-0100-00001F000000}">
      <text>
        <r>
          <rPr>
            <sz val="11"/>
            <color rgb="FF000000"/>
            <rFont val="Calibri"/>
            <family val="2"/>
            <scheme val="minor"/>
          </rPr>
          <t>======
ID#AAAAyHH1Sok
EM    (2023-05-29 02:22:42)
IdB: Mohr et al., 2015 URR (paper) y max extraction (own elaboration from paper)</t>
        </r>
      </text>
    </comment>
    <comment ref="A59" authorId="0" shapeId="0" xr:uid="{00000000-0006-0000-0100-00000E000000}">
      <text>
        <r>
          <rPr>
            <sz val="11"/>
            <color rgb="FF000000"/>
            <rFont val="Calibri"/>
            <family val="2"/>
            <scheme val="minor"/>
          </rPr>
          <t>======
ID#AAAAyHH1SsY
EM    (2023-05-29 02:22:43)
IdB: Mohr et al., 2015 URR (paper) y max extraction (own elaboration from paper)</t>
        </r>
      </text>
    </comment>
    <comment ref="A61" authorId="0" shapeId="0" xr:uid="{00000000-0006-0000-0100-00004D000000}">
      <text>
        <r>
          <rPr>
            <sz val="11"/>
            <color rgb="FF000000"/>
            <rFont val="Calibri"/>
            <family val="2"/>
            <scheme val="minor"/>
          </rPr>
          <t>======
ID#AAAAyHH1ShA
EM    (2023-05-29 02:22:42)
IdB: Laherrere 2010
URR (paper) y max extraction (own elaboration from paper)</t>
        </r>
      </text>
    </comment>
    <comment ref="B61" authorId="0" shapeId="0" xr:uid="{00000000-0006-0000-0100-000064000000}">
      <text>
        <r>
          <rPr>
            <sz val="11"/>
            <color rgb="FF000000"/>
            <rFont val="Calibri"/>
            <family val="2"/>
            <scheme val="minor"/>
          </rPr>
          <t>======
ID#AAAAyHH1SdA
Iñigo    (2023-05-29 02:22:42)
no estimate in the original analysis, we consider a similar ratio than Mohr12 BG</t>
        </r>
      </text>
    </comment>
    <comment ref="A64" authorId="0" shapeId="0" xr:uid="{00000000-0006-0000-0100-000067000000}">
      <text>
        <r>
          <rPr>
            <sz val="11"/>
            <color rgb="FF000000"/>
            <rFont val="Calibri"/>
            <family val="2"/>
            <scheme val="minor"/>
          </rPr>
          <t>======
ID#AAAAyHH1Scg
EM    (2023-05-29 02:22:42)
IdB: Mohr et al., 2015</t>
        </r>
      </text>
    </comment>
    <comment ref="A67" authorId="0" shapeId="0" xr:uid="{00000000-0006-0000-0100-000006000000}">
      <text>
        <r>
          <rPr>
            <sz val="11"/>
            <color rgb="FF000000"/>
            <rFont val="Calibri"/>
            <family val="2"/>
            <scheme val="minor"/>
          </rPr>
          <t>======
ID#AAAAyHH1SuM
EM    (2023-05-29 02:22:43)
IdB: Zittel12
URR (paper) y max extraction (own elaboration from paper)</t>
        </r>
      </text>
    </comment>
    <comment ref="A72" authorId="0" shapeId="0" xr:uid="{00000000-0006-0000-0100-00002E000000}">
      <text>
        <r>
          <rPr>
            <sz val="11"/>
            <color rgb="FF000000"/>
            <rFont val="Calibri"/>
            <family val="2"/>
            <scheme val="minor"/>
          </rPr>
          <t>======
ID#AAAAyHH1Sls
Iñigo    (2023-05-29 02:22:42)
BP 2016</t>
        </r>
      </text>
    </comment>
    <comment ref="E72" authorId="0" shapeId="0" xr:uid="{00000000-0006-0000-0100-000050000000}">
      <text>
        <r>
          <rPr>
            <sz val="11"/>
            <color rgb="FF000000"/>
            <rFont val="Calibri"/>
            <family val="2"/>
            <scheme val="minor"/>
          </rPr>
          <t>======
ID#AAAAyHH1SgQ
EM    (2023-05-29 02:22:42)
IdB: Mohr et al. 2015</t>
        </r>
      </text>
    </comment>
    <comment ref="A73" authorId="0" shapeId="0" xr:uid="{00000000-0006-0000-0100-00005F000000}">
      <text>
        <r>
          <rPr>
            <sz val="11"/>
            <color rgb="FF000000"/>
            <rFont val="Calibri"/>
            <family val="2"/>
            <scheme val="minor"/>
          </rPr>
          <t>======
ID#AAAAyHH1SeQ
EM    (2023-05-29 02:22:42)
IdB: IEA balances</t>
        </r>
      </text>
    </comment>
    <comment ref="E73" authorId="0" shapeId="0" xr:uid="{00000000-0006-0000-0100-000035000000}">
      <text>
        <r>
          <rPr>
            <sz val="11"/>
            <color rgb="FF000000"/>
            <rFont val="Calibri"/>
            <family val="2"/>
            <scheme val="minor"/>
          </rPr>
          <t>======
ID#AAAAyHH1Skc
EM    (2023-05-29 02:22:42)
IdB: Mohr et al. 2015</t>
        </r>
      </text>
    </comment>
    <comment ref="A74" authorId="0" shapeId="0" xr:uid="{00000000-0006-0000-0100-000034000000}">
      <text>
        <r>
          <rPr>
            <sz val="11"/>
            <color rgb="FF000000"/>
            <rFont val="Calibri"/>
            <family val="2"/>
            <scheme val="minor"/>
          </rPr>
          <t>======
ID#AAAAyHH1Skw
EM    (2023-05-29 02:22:42)
IdB: IEA balances</t>
        </r>
      </text>
    </comment>
    <comment ref="E74" authorId="0" shapeId="0" xr:uid="{00000000-0006-0000-0100-00002A000000}">
      <text>
        <r>
          <rPr>
            <sz val="11"/>
            <color rgb="FF000000"/>
            <rFont val="Calibri"/>
            <family val="2"/>
            <scheme val="minor"/>
          </rPr>
          <t>======
ID#AAAAyHH1SmY
EM    (2023-05-29 02:22:42)
IdB: Mohr et al. 2015</t>
        </r>
      </text>
    </comment>
    <comment ref="A75" authorId="0" shapeId="0" xr:uid="{00000000-0006-0000-0100-000044000000}">
      <text>
        <r>
          <rPr>
            <sz val="11"/>
            <color rgb="FF000000"/>
            <rFont val="Calibri"/>
            <family val="2"/>
            <scheme val="minor"/>
          </rPr>
          <t>======
ID#AAAAyHH1Shs
Iñigo    (2023-05-29 02:22:42)
US EIA, IRENA and own estimation</t>
        </r>
      </text>
    </comment>
    <comment ref="E75" authorId="0" shapeId="0" xr:uid="{00000000-0006-0000-0100-000015000000}">
      <text>
        <r>
          <rPr>
            <sz val="11"/>
            <color rgb="FF000000"/>
            <rFont val="Calibri"/>
            <family val="2"/>
            <scheme val="minor"/>
          </rPr>
          <t>======
ID#AAAAyHH1Sqw
EM    (2023-05-29 02:22:42)
IdB: Mohr et al. 2015</t>
        </r>
      </text>
    </comment>
    <comment ref="A76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======
ID#AAAAyHH1SvI
Iñigo    (2023-05-29 02:22:43)
IRENA</t>
        </r>
      </text>
    </comment>
    <comment ref="E76" authorId="0" shapeId="0" xr:uid="{00000000-0006-0000-0100-000040000000}">
      <text>
        <r>
          <rPr>
            <sz val="11"/>
            <color rgb="FF000000"/>
            <rFont val="Calibri"/>
            <family val="2"/>
            <scheme val="minor"/>
          </rPr>
          <t>======
ID#AAAAyHH1Si4
EM    (2023-05-29 02:22:42)
IdB: Mohr et al. 2015</t>
        </r>
      </text>
    </comment>
    <comment ref="A77" authorId="0" shapeId="0" xr:uid="{00000000-0006-0000-0100-00005B000000}">
      <text>
        <r>
          <rPr>
            <sz val="11"/>
            <color rgb="FF000000"/>
            <rFont val="Calibri"/>
            <family val="2"/>
            <scheme val="minor"/>
          </rPr>
          <t>======
ID#AAAAyHH1Sew
Iñigo    (2023-05-29 02:22:42)
IRENA</t>
        </r>
      </text>
    </comment>
    <comment ref="E77" authorId="0" shapeId="0" xr:uid="{00000000-0006-0000-0100-000054000000}">
      <text>
        <r>
          <rPr>
            <sz val="11"/>
            <color rgb="FF000000"/>
            <rFont val="Calibri"/>
            <family val="2"/>
            <scheme val="minor"/>
          </rPr>
          <t>======
ID#AAAAyHH1Sf0
EM    (2023-05-29 02:22:42)
IdB: (EWG 2006)</t>
        </r>
      </text>
    </comment>
    <comment ref="A78" authorId="0" shapeId="0" xr:uid="{00000000-0006-0000-0100-000058000000}">
      <text>
        <r>
          <rPr>
            <sz val="11"/>
            <color rgb="FF000000"/>
            <rFont val="Calibri"/>
            <family val="2"/>
            <scheme val="minor"/>
          </rPr>
          <t>======
ID#AAAAyHH1SfY
Iñigo    (2023-05-29 02:22:42)
IRENA</t>
        </r>
      </text>
    </comment>
    <comment ref="A79" authorId="0" shapeId="0" xr:uid="{00000000-0006-0000-0100-000070000000}">
      <text>
        <r>
          <rPr>
            <sz val="11"/>
            <color rgb="FF000000"/>
            <rFont val="Calibri"/>
            <family val="2"/>
            <scheme val="minor"/>
          </rPr>
          <t>======
ID#AAAAx9f-PsQ
Iñigo    (2023-05-29 02:22:41)
IRENA</t>
        </r>
      </text>
    </comment>
    <comment ref="A80" authorId="0" shapeId="0" xr:uid="{00000000-0006-0000-0100-000030000000}">
      <text>
        <r>
          <rPr>
            <sz val="11"/>
            <color rgb="FF000000"/>
            <rFont val="Calibri"/>
            <family val="2"/>
            <scheme val="minor"/>
          </rPr>
          <t>======
ID#AAAAyHH1SlM
Iñigo    (2023-05-29 02:22:42)
IRENA</t>
        </r>
      </text>
    </comment>
    <comment ref="A81" authorId="0" shapeId="0" xr:uid="{00000000-0006-0000-0100-000010000000}">
      <text>
        <r>
          <rPr>
            <sz val="11"/>
            <color rgb="FF000000"/>
            <rFont val="Calibri"/>
            <family val="2"/>
            <scheme val="minor"/>
          </rPr>
          <t>======
ID#AAAAyHH1SsI
Iñigo    (2023-05-29 02:22:43)
IRENA</t>
        </r>
      </text>
    </comment>
    <comment ref="A82" authorId="0" shapeId="0" xr:uid="{00000000-0006-0000-0100-000069000000}">
      <text>
        <r>
          <rPr>
            <sz val="11"/>
            <color rgb="FF000000"/>
            <rFont val="Calibri"/>
            <family val="2"/>
            <scheme val="minor"/>
          </rPr>
          <t>======
ID#AAAAyHH1ScE
Iñigo    (2023-05-29 02:22:42)
IRENA</t>
        </r>
      </text>
    </comment>
    <comment ref="A83" authorId="0" shapeId="0" xr:uid="{00000000-0006-0000-0100-000036000000}">
      <text>
        <r>
          <rPr>
            <sz val="11"/>
            <color rgb="FF000000"/>
            <rFont val="Calibri"/>
            <family val="2"/>
            <scheme val="minor"/>
          </rPr>
          <t>======
ID#AAAAyHH1SkU
Iñigo    (2023-05-29 02:22:42)
Own elaboration based on SolarPACES data
https://www.nrel.gov/csp/solarpaces/</t>
        </r>
      </text>
    </comment>
    <comment ref="A84" authorId="0" shapeId="0" xr:uid="{00000000-0006-0000-0100-000042000000}">
      <text>
        <r>
          <rPr>
            <sz val="11"/>
            <color rgb="FF000000"/>
            <rFont val="Calibri"/>
            <family val="2"/>
            <scheme val="minor"/>
          </rPr>
          <t>======
ID#AAAAyHH1Sio
Iñigo    (2023-05-29 02:22:42)
Own estimations from IEA balances and SHC (2016)</t>
        </r>
      </text>
    </comment>
    <comment ref="A85" authorId="0" shapeId="0" xr:uid="{00000000-0006-0000-0100-000041000000}">
      <text>
        <r>
          <rPr>
            <sz val="11"/>
            <color rgb="FF000000"/>
            <rFont val="Calibri"/>
            <family val="2"/>
            <scheme val="minor"/>
          </rPr>
          <t>======
ID#AAAAyHH1Si8
Iñigo    (2023-05-29 02:22:42)
own estimations from IEA balances and Lund&amp;Boyd (2015)</t>
        </r>
      </text>
    </comment>
    <comment ref="A86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======
ID#AAAAyHH1Suw
Iñigo    (2023-05-29 02:22:43)
IEA balances and own estimation</t>
        </r>
      </text>
    </comment>
    <comment ref="A87" authorId="0" shapeId="0" xr:uid="{00000000-0006-0000-0100-00002D000000}">
      <text>
        <r>
          <rPr>
            <sz val="11"/>
            <color rgb="FF000000"/>
            <rFont val="Calibri"/>
            <family val="2"/>
            <scheme val="minor"/>
          </rPr>
          <t>======
ID#AAAAyHH1SmA
Iñigo    (2023-05-29 02:22:42)
IEA Balances and own calculations</t>
        </r>
      </text>
    </comment>
    <comment ref="A88" authorId="0" shapeId="0" xr:uid="{00000000-0006-0000-0100-00000C000000}">
      <text>
        <r>
          <rPr>
            <sz val="11"/>
            <color rgb="FF000000"/>
            <rFont val="Calibri"/>
            <family val="2"/>
            <scheme val="minor"/>
          </rPr>
          <t>======
ID#AAAAyHH1StE
Iñigo    (2023-05-29 02:22:43)
SHC 2016 and own estimations</t>
        </r>
      </text>
    </comment>
    <comment ref="A89" authorId="0" shapeId="0" xr:uid="{00000000-0006-0000-0100-000026000000}">
      <text>
        <r>
          <rPr>
            <sz val="11"/>
            <color rgb="FF000000"/>
            <rFont val="Calibri"/>
            <family val="2"/>
            <scheme val="minor"/>
          </rPr>
          <t>======
ID#AAAAyHH1SnE
Iñigo    (2023-05-29 02:22:42)
Lund &amp; Boyer (2015) and own estimations</t>
        </r>
      </text>
    </comment>
    <comment ref="A93" authorId="0" shapeId="0" xr:uid="{00000000-0006-0000-0100-000027000000}">
      <text>
        <r>
          <rPr>
            <sz val="11"/>
            <color rgb="FF000000"/>
            <rFont val="Calibri"/>
            <family val="2"/>
            <scheme val="minor"/>
          </rPr>
          <t>======
ID#AAAAyHH1SnI
EM    (2023-05-29 02:22:42)
IdB:  IEA balances</t>
        </r>
      </text>
    </comment>
    <comment ref="A94" authorId="0" shapeId="0" xr:uid="{00000000-0006-0000-0100-00006F000000}">
      <text>
        <r>
          <rPr>
            <sz val="11"/>
            <color rgb="FF000000"/>
            <rFont val="Calibri"/>
            <family val="2"/>
            <scheme val="minor"/>
          </rPr>
          <t>======
ID#AAAAx9f-PsY
EM    (2023-05-29 02:22:41)
IdB:  IEA balances</t>
        </r>
      </text>
    </comment>
    <comment ref="A95" authorId="0" shapeId="0" xr:uid="{00000000-0006-0000-0100-00000F000000}">
      <text>
        <r>
          <rPr>
            <sz val="11"/>
            <color rgb="FF000000"/>
            <rFont val="Calibri"/>
            <family val="2"/>
            <scheme val="minor"/>
          </rPr>
          <t>======
ID#AAAAyHH1SsE
EM    (2023-05-29 02:22:43)
IdB:  IEA balances</t>
        </r>
      </text>
    </comment>
    <comment ref="A96" authorId="0" shapeId="0" xr:uid="{00000000-0006-0000-0100-00005A000000}">
      <text>
        <r>
          <rPr>
            <sz val="11"/>
            <color rgb="FF000000"/>
            <rFont val="Calibri"/>
            <family val="2"/>
            <scheme val="minor"/>
          </rPr>
          <t>======
ID#AAAAyHH1Se4
EM    (2023-05-29 02:22:42)
IdB:  IEA balances</t>
        </r>
      </text>
    </comment>
    <comment ref="A97" authorId="0" shapeId="0" xr:uid="{00000000-0006-0000-0100-00006C000000}">
      <text>
        <r>
          <rPr>
            <sz val="11"/>
            <color rgb="FF000000"/>
            <rFont val="Calibri"/>
            <family val="2"/>
            <scheme val="minor"/>
          </rPr>
          <t>======
ID#AAAAx9f-Ps4
EM    (2023-05-29 02:22:41)
IdB:  IEA balances</t>
        </r>
      </text>
    </comment>
    <comment ref="A98" authorId="0" shapeId="0" xr:uid="{00000000-0006-0000-0100-00004F000000}">
      <text>
        <r>
          <rPr>
            <sz val="11"/>
            <color rgb="FF000000"/>
            <rFont val="Calibri"/>
            <family val="2"/>
            <scheme val="minor"/>
          </rPr>
          <t>======
ID#AAAAyHH1Sgc
EM    (2023-05-29 02:22:42)
IdB:  IEA balances</t>
        </r>
      </text>
    </comment>
    <comment ref="A99" authorId="0" shapeId="0" xr:uid="{00000000-0006-0000-0100-000037000000}">
      <text>
        <r>
          <rPr>
            <sz val="11"/>
            <color rgb="FF000000"/>
            <rFont val="Calibri"/>
            <family val="2"/>
            <scheme val="minor"/>
          </rPr>
          <t>======
ID#AAAAyHH1SkE
EM    (2023-05-29 02:22:42)
IdB:  IEA balances</t>
        </r>
      </text>
    </comment>
    <comment ref="A100" authorId="0" shapeId="0" xr:uid="{00000000-0006-0000-0100-000048000000}">
      <text>
        <r>
          <rPr>
            <sz val="11"/>
            <color rgb="FF000000"/>
            <rFont val="Calibri"/>
            <family val="2"/>
            <scheme val="minor"/>
          </rPr>
          <t>======
ID#AAAAyHH1Shc
EM    (2023-05-29 02:22:42)
IdB:  IEA balances</t>
        </r>
      </text>
    </comment>
    <comment ref="A101" authorId="0" shapeId="0" xr:uid="{00000000-0006-0000-0100-000066000000}">
      <text>
        <r>
          <rPr>
            <sz val="11"/>
            <color rgb="FF000000"/>
            <rFont val="Calibri"/>
            <family val="2"/>
            <scheme val="minor"/>
          </rPr>
          <t>======
ID#AAAAyHH1Sc8
EM    (2023-05-29 02:22:42)
IdB:  IEA balances</t>
        </r>
      </text>
    </comment>
    <comment ref="A102" authorId="0" shapeId="0" xr:uid="{00000000-0006-0000-0100-00002C000000}">
      <text>
        <r>
          <rPr>
            <sz val="11"/>
            <color rgb="FF000000"/>
            <rFont val="Calibri"/>
            <family val="2"/>
            <scheme val="minor"/>
          </rPr>
          <t>======
ID#AAAAyHH1Sl8
EM    (2023-05-29 02:22:42)
IdB: IEA balances</t>
        </r>
      </text>
    </comment>
    <comment ref="A103" authorId="0" shapeId="0" xr:uid="{00000000-0006-0000-0100-000046000000}">
      <text>
        <r>
          <rPr>
            <sz val="11"/>
            <color rgb="FF000000"/>
            <rFont val="Calibri"/>
            <family val="2"/>
            <scheme val="minor"/>
          </rPr>
          <t>======
ID#AAAAyHH1Sho
EM    (2023-05-29 02:22:42)
IdB:  IEA balances</t>
        </r>
      </text>
    </comment>
    <comment ref="A104" authorId="0" shapeId="0" xr:uid="{00000000-0006-0000-0100-000062000000}">
      <text>
        <r>
          <rPr>
            <sz val="11"/>
            <color rgb="FF000000"/>
            <rFont val="Calibri"/>
            <family val="2"/>
            <scheme val="minor"/>
          </rPr>
          <t>======
ID#AAAAyHH1SdU
EM    (2023-05-29 02:22:42)
IdB:  IEA balances</t>
        </r>
      </text>
    </comment>
    <comment ref="A105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======
ID#AAAAyHH1Suo
EM    (2023-05-29 02:22:43)
IdB:  IEA balances</t>
        </r>
      </text>
    </comment>
    <comment ref="W105" authorId="0" shapeId="0" xr:uid="{00000000-0006-0000-0100-000023000000}">
      <text>
        <r>
          <rPr>
            <sz val="11"/>
            <color rgb="FF000000"/>
            <rFont val="Calibri"/>
            <family val="2"/>
            <scheme val="minor"/>
          </rPr>
          <t>======
ID#AAAAyHH1Sn0
EM    (2023-05-29 02:22:42)
L: Missing value; data exist but were not collected</t>
        </r>
      </text>
    </comment>
    <comment ref="A109" authorId="0" shapeId="0" xr:uid="{00000000-0006-0000-0100-00003F000000}">
      <text>
        <r>
          <rPr>
            <sz val="11"/>
            <color rgb="FF000000"/>
            <rFont val="Calibri"/>
            <family val="2"/>
            <scheme val="minor"/>
          </rPr>
          <t>======
ID#AAAAyHH1Sjc
EM    (2023-05-29 02:22:42)
IdB: IEA (2017)</t>
        </r>
      </text>
    </comment>
    <comment ref="A110" authorId="0" shapeId="0" xr:uid="{00000000-0006-0000-0100-000055000000}">
      <text>
        <r>
          <rPr>
            <sz val="11"/>
            <color rgb="FF000000"/>
            <rFont val="Calibri"/>
            <family val="2"/>
            <scheme val="minor"/>
          </rPr>
          <t>======
ID#AAAAyHH1Sfo
EM    (2023-05-29 02:22:42)
IdB: IAE (2017)</t>
        </r>
      </text>
    </comment>
    <comment ref="A111" authorId="0" shapeId="0" xr:uid="{00000000-0006-0000-0100-00005E000000}">
      <text>
        <r>
          <rPr>
            <sz val="11"/>
            <color rgb="FF000000"/>
            <rFont val="Calibri"/>
            <family val="2"/>
            <scheme val="minor"/>
          </rPr>
          <t>======
ID#AAAAyHH1Seg
EM    (2023-05-29 02:22:42)
IdB:IEA(2017)</t>
        </r>
      </text>
    </comment>
    <comment ref="A113" authorId="0" shapeId="0" xr:uid="{00000000-0006-0000-0100-000060000000}">
      <text>
        <r>
          <rPr>
            <sz val="11"/>
            <color rgb="FF000000"/>
            <rFont val="Calibri"/>
            <family val="2"/>
            <scheme val="minor"/>
          </rPr>
          <t>======
ID#AAAAyHH1Sdo
EM    (2023-05-29 02:22:42)
IdB:(Mohr et al.,2015)</t>
        </r>
      </text>
    </comment>
    <comment ref="A114" authorId="0" shapeId="0" xr:uid="{00000000-0006-0000-0100-000052000000}">
      <text>
        <r>
          <rPr>
            <sz val="11"/>
            <color rgb="FF000000"/>
            <rFont val="Calibri"/>
            <family val="2"/>
            <scheme val="minor"/>
          </rPr>
          <t>======
ID#AAAAyHH1Sf8
EM    (2023-05-29 02:22:42)
IdB:Mohr et al.,2015</t>
        </r>
      </text>
    </comment>
    <comment ref="A115" authorId="0" shapeId="0" xr:uid="{00000000-0006-0000-0100-00003C000000}">
      <text>
        <r>
          <rPr>
            <sz val="11"/>
            <color rgb="FF000000"/>
            <rFont val="Calibri"/>
            <family val="2"/>
            <scheme val="minor"/>
          </rPr>
          <t>======
ID#AAAAyHH1Sjk
EM    (2023-05-29 02:22:42)
IdB: IEA balances</t>
        </r>
      </text>
    </comment>
    <comment ref="A116" authorId="0" shapeId="0" xr:uid="{00000000-0006-0000-0100-00003D000000}">
      <text>
        <r>
          <rPr>
            <sz val="11"/>
            <color rgb="FF000000"/>
            <rFont val="Calibri"/>
            <family val="2"/>
            <scheme val="minor"/>
          </rPr>
          <t>======
ID#AAAAyHH1Sjo
EM    (2023-05-29 02:22:42)
IdB: IEA balances</t>
        </r>
      </text>
    </comment>
    <comment ref="A120" authorId="0" shapeId="0" xr:uid="{00000000-0006-0000-0100-00001E000000}">
      <text>
        <r>
          <rPr>
            <sz val="11"/>
            <color rgb="FF000000"/>
            <rFont val="Calibri"/>
            <family val="2"/>
            <scheme val="minor"/>
          </rPr>
          <t>======
ID#AAAAyHH1So8
EM    (2023-05-29 02:22:42)
IdB: IEA balances</t>
        </r>
      </text>
    </comment>
    <comment ref="A121" authorId="0" shapeId="0" xr:uid="{00000000-0006-0000-0100-000007000000}">
      <text>
        <r>
          <rPr>
            <sz val="11"/>
            <color rgb="FF000000"/>
            <rFont val="Calibri"/>
            <family val="2"/>
            <scheme val="minor"/>
          </rPr>
          <t>======
ID#AAAAyHH1SuU
EM    (2023-05-29 02:22:43)
IdB: IEA balances</t>
        </r>
      </text>
    </comment>
    <comment ref="A123" authorId="0" shapeId="0" xr:uid="{00000000-0006-0000-0100-000005000000}">
      <text>
        <r>
          <rPr>
            <sz val="11"/>
            <color rgb="FF000000"/>
            <rFont val="Calibri"/>
            <family val="2"/>
            <scheme val="minor"/>
          </rPr>
          <t>======
ID#AAAAyHH1Sug
Iñigo    (2023-05-29 02:22:43)
BP2016</t>
        </r>
      </text>
    </comment>
    <comment ref="A125" authorId="0" shapeId="0" xr:uid="{00000000-0006-0000-0100-000043000000}">
      <text>
        <r>
          <rPr>
            <sz val="11"/>
            <color rgb="FF000000"/>
            <rFont val="Calibri"/>
            <family val="2"/>
            <scheme val="minor"/>
          </rPr>
          <t>======
ID#AAAAyHH1Sh4
Iñigo    (2023-05-29 02:22:42)
SHC 2016 and own calculations</t>
        </r>
      </text>
    </comment>
    <comment ref="A126" authorId="0" shapeId="0" xr:uid="{00000000-0006-0000-0100-000020000000}">
      <text>
        <r>
          <rPr>
            <sz val="11"/>
            <color rgb="FF000000"/>
            <rFont val="Calibri"/>
            <family val="2"/>
            <scheme val="minor"/>
          </rPr>
          <t>======
ID#AAAAyHH1SoE
Iñigo    (2023-05-29 02:22:42)
Lund&amp;Boyer (2015) and own calculations</t>
        </r>
      </text>
    </comment>
    <comment ref="A127" authorId="0" shapeId="0" xr:uid="{00000000-0006-0000-0100-000065000000}">
      <text>
        <r>
          <rPr>
            <sz val="11"/>
            <color rgb="FF000000"/>
            <rFont val="Calibri"/>
            <family val="2"/>
            <scheme val="minor"/>
          </rPr>
          <t>======
ID#AAAAyHH1SdE
Iñigo    (2023-05-29 02:22:42)
IEA balances and own estimation</t>
        </r>
      </text>
    </comment>
    <comment ref="A129" authorId="0" shapeId="0" xr:uid="{00000000-0006-0000-0100-00000D000000}">
      <text>
        <r>
          <rPr>
            <sz val="11"/>
            <color rgb="FF000000"/>
            <rFont val="Calibri"/>
            <family val="2"/>
            <scheme val="minor"/>
          </rPr>
          <t>======
ID#AAAAyHH1StI
Iñigo    (2023-05-29 02:22:43)
SHC 2016 and own calculations</t>
        </r>
      </text>
    </comment>
    <comment ref="A130" authorId="0" shapeId="0" xr:uid="{00000000-0006-0000-0100-000047000000}">
      <text>
        <r>
          <rPr>
            <sz val="11"/>
            <color rgb="FF000000"/>
            <rFont val="Calibri"/>
            <family val="2"/>
            <scheme val="minor"/>
          </rPr>
          <t>======
ID#AAAAyHH1ShY
Iñigo    (2023-05-29 02:22:42)
Lund&amp;Boyer (2015) and own calculations</t>
        </r>
      </text>
    </comment>
    <comment ref="A131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======
ID#AAAAyHH1SvE
Iñigo    (2023-05-29 02:22:43)
IEA balances and own estimation</t>
        </r>
      </text>
    </comment>
    <comment ref="A133" authorId="0" shapeId="0" xr:uid="{00000000-0006-0000-0100-000014000000}">
      <text>
        <r>
          <rPr>
            <sz val="11"/>
            <color rgb="FF000000"/>
            <rFont val="Calibri"/>
            <family val="2"/>
            <scheme val="minor"/>
          </rPr>
          <t>======
ID#AAAAyHH1Sq8
Iñigo    (2023-05-29 02:22:42)
US EIA database</t>
        </r>
      </text>
    </comment>
    <comment ref="A135" authorId="0" shapeId="0" xr:uid="{00000000-0006-0000-0100-00004B000000}">
      <text>
        <r>
          <rPr>
            <sz val="11"/>
            <color rgb="FF000000"/>
            <rFont val="Calibri"/>
            <family val="2"/>
            <scheme val="minor"/>
          </rPr>
          <t>======
ID#AAAAyHH1Sg4
Iñigo    (2023-05-29 02:22:42)
US EIA, IRENA and own estimation</t>
        </r>
      </text>
    </comment>
    <comment ref="A136" authorId="0" shapeId="0" xr:uid="{00000000-0006-0000-0100-00000A000000}">
      <text>
        <r>
          <rPr>
            <sz val="11"/>
            <color rgb="FF000000"/>
            <rFont val="Calibri"/>
            <family val="2"/>
            <scheme val="minor"/>
          </rPr>
          <t>======
ID#AAAAyHH1Stk
Iñigo    (2023-05-29 02:22:43)
IRENA and own estimation</t>
        </r>
      </text>
    </comment>
    <comment ref="A137" authorId="0" shapeId="0" xr:uid="{00000000-0006-0000-0100-000059000000}">
      <text>
        <r>
          <rPr>
            <sz val="11"/>
            <color rgb="FF000000"/>
            <rFont val="Calibri"/>
            <family val="2"/>
            <scheme val="minor"/>
          </rPr>
          <t>======
ID#AAAAyHH1SfI
Iñigo    (2023-05-29 02:22:42)
IRENA and own estimation</t>
        </r>
      </text>
    </comment>
    <comment ref="A138" authorId="0" shapeId="0" xr:uid="{00000000-0006-0000-0100-000008000000}">
      <text>
        <r>
          <rPr>
            <sz val="11"/>
            <color rgb="FF000000"/>
            <rFont val="Calibri"/>
            <family val="2"/>
            <scheme val="minor"/>
          </rPr>
          <t>======
ID#AAAAyHH1St4
Iñigo    (2023-05-29 02:22:43)
IRENA and own estimation</t>
        </r>
      </text>
    </comment>
    <comment ref="A139" authorId="0" shapeId="0" xr:uid="{00000000-0006-0000-0100-000016000000}">
      <text>
        <r>
          <rPr>
            <sz val="11"/>
            <color rgb="FF000000"/>
            <rFont val="Calibri"/>
            <family val="2"/>
            <scheme val="minor"/>
          </rPr>
          <t>======
ID#AAAAyHH1SqM
Iñigo    (2023-05-29 02:22:42)
IRENA and own estimation</t>
        </r>
      </text>
    </comment>
    <comment ref="A140" authorId="0" shapeId="0" xr:uid="{00000000-0006-0000-0100-000031000000}">
      <text>
        <r>
          <rPr>
            <sz val="11"/>
            <color rgb="FF000000"/>
            <rFont val="Calibri"/>
            <family val="2"/>
            <scheme val="minor"/>
          </rPr>
          <t>======
ID#AAAAyHH1Sk8
Iñigo    (2023-05-29 02:22:42)
IRENA and own estimation</t>
        </r>
      </text>
    </comment>
    <comment ref="A141" authorId="0" shapeId="0" xr:uid="{00000000-0006-0000-0100-000013000000}">
      <text>
        <r>
          <rPr>
            <sz val="11"/>
            <color rgb="FF000000"/>
            <rFont val="Calibri"/>
            <family val="2"/>
            <scheme val="minor"/>
          </rPr>
          <t>======
ID#AAAAyHH1SrU
Iñigo    (2023-05-29 02:22:42)
IRENA and own estimation</t>
        </r>
      </text>
    </comment>
    <comment ref="A142" authorId="0" shapeId="0" xr:uid="{00000000-0006-0000-0100-000051000000}">
      <text>
        <r>
          <rPr>
            <sz val="11"/>
            <color rgb="FF000000"/>
            <rFont val="Calibri"/>
            <family val="2"/>
            <scheme val="minor"/>
          </rPr>
          <t>======
ID#AAAAyHH1SgU
Iñigo    (2023-05-29 02:22:42)
Own elaboration based on SolarPACES data
https://www.nrel.gov/csp/solarpaces/</t>
        </r>
      </text>
    </comment>
    <comment ref="A143" authorId="0" shapeId="0" xr:uid="{00000000-0006-0000-0100-000022000000}">
      <text>
        <r>
          <rPr>
            <sz val="11"/>
            <color rgb="FF000000"/>
            <rFont val="Calibri"/>
            <family val="2"/>
            <scheme val="minor"/>
          </rPr>
          <t>======
ID#AAAAyHH1Snw
Iñigo    (2023-05-29 02:22:42)
US EIA, IRENA and own estimation</t>
        </r>
      </text>
    </comment>
    <comment ref="A147" authorId="0" shapeId="0" xr:uid="{00000000-0006-0000-0100-00003B000000}">
      <text>
        <r>
          <rPr>
            <sz val="11"/>
            <color rgb="FF000000"/>
            <rFont val="Calibri"/>
            <family val="2"/>
            <scheme val="minor"/>
          </rPr>
          <t>======
ID#AAAAyHH1Sjs
IdB    (2023-05-29 02:22:42)
IEA balances</t>
        </r>
      </text>
    </comment>
    <comment ref="A148" authorId="0" shapeId="0" xr:uid="{00000000-0006-0000-0100-00001D000000}">
      <text>
        <r>
          <rPr>
            <sz val="11"/>
            <color rgb="FF000000"/>
            <rFont val="Calibri"/>
            <family val="2"/>
            <scheme val="minor"/>
          </rPr>
          <t>======
ID#AAAAyHH1So4
EM    (2023-05-29 02:22:42)
IdB:  IEA balances</t>
        </r>
      </text>
    </comment>
    <comment ref="A149" authorId="0" shapeId="0" xr:uid="{00000000-0006-0000-0100-00003A000000}">
      <text>
        <r>
          <rPr>
            <sz val="11"/>
            <color rgb="FF000000"/>
            <rFont val="Calibri"/>
            <family val="2"/>
            <scheme val="minor"/>
          </rPr>
          <t>======
ID#AAAAyHH1Sj0
EM    (2023-05-29 02:22:42)
IdB: IEA balances</t>
        </r>
      </text>
    </comment>
    <comment ref="A151" authorId="0" shapeId="0" xr:uid="{00000000-0006-0000-0100-000012000000}">
      <text>
        <r>
          <rPr>
            <sz val="11"/>
            <color rgb="FF000000"/>
            <rFont val="Calibri"/>
            <family val="2"/>
            <scheme val="minor"/>
          </rPr>
          <t>======
ID#AAAAyHH1SrQ
EM    (2023-05-29 02:22:42)
IdB:  IEA balances</t>
        </r>
      </text>
    </comment>
    <comment ref="A152" authorId="0" shapeId="0" xr:uid="{00000000-0006-0000-0100-000009000000}">
      <text>
        <r>
          <rPr>
            <sz val="11"/>
            <color rgb="FF000000"/>
            <rFont val="Calibri"/>
            <family val="2"/>
            <scheme val="minor"/>
          </rPr>
          <t>======
ID#AAAAyHH1St8
EM    (2023-05-29 02:22:43)
IdB:  IEA balances</t>
        </r>
      </text>
    </comment>
    <comment ref="A153" authorId="0" shapeId="0" xr:uid="{00000000-0006-0000-0100-000053000000}">
      <text>
        <r>
          <rPr>
            <sz val="11"/>
            <color rgb="FF000000"/>
            <rFont val="Calibri"/>
            <family val="2"/>
            <scheme val="minor"/>
          </rPr>
          <t>======
ID#AAAAyHH1SgI
EM    (2023-05-29 02:22:42)
IdB:  IEA balances</t>
        </r>
      </text>
    </comment>
    <comment ref="A159" authorId="0" shapeId="0" xr:uid="{00000000-0006-0000-0100-00006E000000}">
      <text>
        <r>
          <rPr>
            <sz val="11"/>
            <color rgb="FF000000"/>
            <rFont val="Calibri"/>
            <family val="2"/>
            <scheme val="minor"/>
          </rPr>
          <t>======
ID#AAAAx9f-Psg
EM    (2023-05-29 02:22:41)
IdB: Industrial waste+municipal waste (renewable)+municipale waste (non-renewable) from IEA balances</t>
        </r>
      </text>
    </comment>
    <comment ref="A161" authorId="0" shapeId="0" xr:uid="{00000000-0006-0000-0100-000038000000}">
      <text>
        <r>
          <rPr>
            <sz val="11"/>
            <color rgb="FF000000"/>
            <rFont val="Calibri"/>
            <family val="2"/>
            <scheme val="minor"/>
          </rPr>
          <t>======
ID#AAAAyHH1SkI
Iñigo    (2023-05-29 02:22:42)
IEA balances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s7BDfejiZsc8S289bfgd7vt6Se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200-00006E000000}">
      <text>
        <r>
          <rPr>
            <sz val="11"/>
            <color rgb="FF000000"/>
            <rFont val="Calibri"/>
            <family val="2"/>
            <scheme val="minor"/>
          </rPr>
          <t>======
ID#AAAAyHH1ScI
thinkpad    (2023-05-29 02:22:42)
minimum demand over time;
supposedly this is the minimum fraction of the production capacity that is being produced at any time</t>
        </r>
      </text>
    </comment>
    <comment ref="C2" authorId="0" shapeId="0" xr:uid="{00000000-0006-0000-0200-000067000000}">
      <text>
        <r>
          <rPr>
            <sz val="11"/>
            <color rgb="FF000000"/>
            <rFont val="Calibri"/>
            <family val="2"/>
            <scheme val="minor"/>
          </rPr>
          <t>======
ID#AAAAyHH1Sd0
thinkpad    (2023-05-29 02:22:42)
capacity factor; this could refer to the exploited vs potential energy production</t>
        </r>
      </text>
    </comment>
    <comment ref="C4" authorId="0" shapeId="0" xr:uid="{00000000-0006-0000-0200-00002C000000}">
      <text>
        <r>
          <rPr>
            <sz val="11"/>
            <color rgb="FF000000"/>
            <rFont val="Calibri"/>
            <family val="2"/>
            <scheme val="minor"/>
          </rPr>
          <t>======
ID#AAAAyHH1So0
Iñigo    (2023-05-29 02:22:42)
IRENA and extrapolation following EIA (2009)</t>
        </r>
      </text>
    </comment>
    <comment ref="C5" authorId="0" shapeId="0" xr:uid="{00000000-0006-0000-0200-000078000000}">
      <text>
        <r>
          <rPr>
            <sz val="11"/>
            <color rgb="FF000000"/>
            <rFont val="Calibri"/>
            <family val="2"/>
            <scheme val="minor"/>
          </rPr>
          <t>======
ID#AAAAx9f-qLQ
Iñigo    (2023-05-29 02:22:41)
Own estimation from IRENA</t>
        </r>
      </text>
    </comment>
    <comment ref="C6" authorId="0" shapeId="0" xr:uid="{00000000-0006-0000-0200-000066000000}">
      <text>
        <r>
          <rPr>
            <sz val="11"/>
            <color rgb="FF000000"/>
            <rFont val="Calibri"/>
            <family val="2"/>
            <scheme val="minor"/>
          </rPr>
          <t>======
ID#AAAAyHH1SeI
Iñigo    (2023-05-29 02:22:42)
IRENA and own estimation</t>
        </r>
      </text>
    </comment>
    <comment ref="C7" authorId="0" shapeId="0" xr:uid="{00000000-0006-0000-0200-000051000000}">
      <text>
        <r>
          <rPr>
            <sz val="11"/>
            <color rgb="FF000000"/>
            <rFont val="Calibri"/>
            <family val="2"/>
            <scheme val="minor"/>
          </rPr>
          <t>======
ID#AAAAyHH1Sic
Iñigo    (2023-05-29 02:22:42)
IRENA and own estimation</t>
        </r>
      </text>
    </comment>
    <comment ref="C8" authorId="0" shapeId="0" xr:uid="{00000000-0006-0000-0200-000041000000}">
      <text>
        <r>
          <rPr>
            <sz val="11"/>
            <color rgb="FF000000"/>
            <rFont val="Calibri"/>
            <family val="2"/>
            <scheme val="minor"/>
          </rPr>
          <t>======
ID#AAAAyHH1SlY
Iñigo    (2023-05-29 02:22:42)
IRENA and own estimation</t>
        </r>
      </text>
    </comment>
    <comment ref="C9" authorId="0" shapeId="0" xr:uid="{00000000-0006-0000-0200-000063000000}">
      <text>
        <r>
          <rPr>
            <sz val="11"/>
            <color rgb="FF000000"/>
            <rFont val="Calibri"/>
            <family val="2"/>
            <scheme val="minor"/>
          </rPr>
          <t>======
ID#AAAAyHH1Se8
Iñigo    (2023-05-29 02:22:42)
IRENA and own estimation</t>
        </r>
      </text>
    </comment>
    <comment ref="C10" authorId="0" shapeId="0" xr:uid="{00000000-0006-0000-0200-00006A000000}">
      <text>
        <r>
          <rPr>
            <sz val="11"/>
            <color rgb="FF000000"/>
            <rFont val="Calibri"/>
            <family val="2"/>
            <scheme val="minor"/>
          </rPr>
          <t>======
ID#AAAAyHH1SdI
Iñigo    (2023-05-29 02:22:42)
IRENA and own estimation</t>
        </r>
      </text>
    </comment>
    <comment ref="C11" authorId="0" shapeId="0" xr:uid="{00000000-0006-0000-0200-000042000000}">
      <text>
        <r>
          <rPr>
            <sz val="11"/>
            <color rgb="FF000000"/>
            <rFont val="Calibri"/>
            <family val="2"/>
            <scheme val="minor"/>
          </rPr>
          <t>======
ID#AAAAyHH1Slc
Iñigo    (2023-05-29 02:22:42)
de Castro &amp; Capellán-Pérez (2018) Working paper</t>
        </r>
      </text>
    </comment>
    <comment ref="B14" authorId="0" shapeId="0" xr:uid="{00000000-0006-0000-0200-000061000000}">
      <text>
        <r>
          <rPr>
            <sz val="11"/>
            <color rgb="FF000000"/>
            <rFont val="Calibri"/>
            <family val="2"/>
            <scheme val="minor"/>
          </rPr>
          <t>======
ID#AAAAyHH1SfU
Iñigo    (2023-05-29 02:22:42)
De Castro et al (2013); De Castro &amp; Capellán-Pérez (2017)</t>
        </r>
      </text>
    </comment>
    <comment ref="C14" authorId="0" shapeId="0" xr:uid="{00000000-0006-0000-0200-000053000000}">
      <text>
        <r>
          <rPr>
            <sz val="11"/>
            <color rgb="FF000000"/>
            <rFont val="Calibri"/>
            <family val="2"/>
            <scheme val="minor"/>
          </rPr>
          <t>======
ID#AAAAyHH1Sh8
Iñigo    (2023-05-29 02:22:42)
de Castro &amp; Capellán-Pérez (2017) Working paper</t>
        </r>
      </text>
    </comment>
    <comment ref="C15" authorId="0" shapeId="0" xr:uid="{00000000-0006-0000-0200-000080000000}">
      <text>
        <r>
          <rPr>
            <sz val="11"/>
            <color rgb="FF000000"/>
            <rFont val="Calibri"/>
            <family val="2"/>
            <scheme val="minor"/>
          </rPr>
          <t>======
ID#AAAAx9f92kg
Iñigo    (2023-05-29 02:22:41)
own calculations from SHC (2016)</t>
        </r>
      </text>
    </comment>
    <comment ref="C16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ID#AAAAyLOXlv8
Iñigo    (2023-05-30 23:13:03)
Source: own estimation from: Lund and Freeston (2000), Lund, Freeston and Boyd (2010) and Lund&amp;Boyd (2015)
http://www.sciencedirect.com/science/article/pii/S0375650500000444
http://www.sciencedirect.com/science/article/pii/S0375650511000344
https://www.sciencedirect.com/science/article/pii/S037565051500156X</t>
        </r>
      </text>
    </comment>
    <comment ref="A25" authorId="0" shapeId="0" xr:uid="{00000000-0006-0000-0200-000031000000}">
      <text>
        <r>
          <rPr>
            <sz val="11"/>
            <color rgb="FF000000"/>
            <rFont val="Calibri"/>
            <family val="2"/>
            <scheme val="minor"/>
          </rPr>
          <t>======
ID#AAAAyHH1SoM
Iñigo    (2023-05-29 02:22:42)
own estimation from IEA balances
average (1995-2015)</t>
        </r>
      </text>
    </comment>
    <comment ref="A26" authorId="0" shapeId="0" xr:uid="{00000000-0006-0000-0200-00002E000000}">
      <text>
        <r>
          <rPr>
            <sz val="11"/>
            <color rgb="FF000000"/>
            <rFont val="Calibri"/>
            <family val="2"/>
            <scheme val="minor"/>
          </rPr>
          <t>======
ID#AAAAyHH1Sos
Iñigo    (2023-05-29 02:22:42)
own estimation from IEA balances
average (1995-2015)</t>
        </r>
      </text>
    </comment>
    <comment ref="G27" authorId="0" shapeId="0" xr:uid="{00000000-0006-0000-0200-000010000000}">
      <text>
        <r>
          <rPr>
            <sz val="11"/>
            <color rgb="FF000000"/>
            <rFont val="Calibri"/>
            <family val="2"/>
            <scheme val="minor"/>
          </rPr>
          <t>======
ID#AAAAyHH1Ss4
Iñigo    (2023-05-29 02:22:43)
own estimation from SHC (2016)</t>
        </r>
      </text>
    </comment>
    <comment ref="G29" authorId="0" shapeId="0" xr:uid="{00000000-0006-0000-0200-000018000000}">
      <text>
        <r>
          <rPr>
            <sz val="11"/>
            <color rgb="FF000000"/>
            <rFont val="Calibri"/>
            <family val="2"/>
            <scheme val="minor"/>
          </rPr>
          <t>======
ID#AAAAyHH1Srw
Iñigo    (2023-05-29 02:22:43)
own estimation from IRENA
Average from historical data</t>
        </r>
      </text>
    </comment>
    <comment ref="A31" authorId="0" shapeId="0" xr:uid="{00000000-0006-0000-0200-000071000000}">
      <text>
        <r>
          <rPr>
            <sz val="11"/>
            <color rgb="FF000000"/>
            <rFont val="Calibri"/>
            <family val="2"/>
            <scheme val="minor"/>
          </rPr>
          <t>======
ID#AAAAx9f-qLw
thinkpad    (2023-05-29 02:22:41)
Final energy demand for Heating over Final energy demand for specific energy source</t>
        </r>
      </text>
    </comment>
    <comment ref="E31" authorId="0" shapeId="0" xr:uid="{00000000-0006-0000-0200-00002B000000}">
      <text>
        <r>
          <rPr>
            <sz val="11"/>
            <color rgb="FF000000"/>
            <rFont val="Calibri"/>
            <family val="2"/>
            <scheme val="minor"/>
          </rPr>
          <t>======
ID#AAAAyHH1SpE
Iñigo    (2023-05-29 02:22:42)
own estimation from IEA balances</t>
        </r>
      </text>
    </comment>
    <comment ref="A37" authorId="0" shapeId="0" xr:uid="{00000000-0006-0000-0200-000076000000}">
      <text>
        <r>
          <rPr>
            <sz val="11"/>
            <color rgb="FF000000"/>
            <rFont val="Calibri"/>
            <family val="2"/>
            <scheme val="minor"/>
          </rPr>
          <t>======
ID#AAAAx9f-qLc
Iñigo    (2023-05-29 02:22:41)
1990-2014 average from IEA balances</t>
        </r>
      </text>
    </comment>
    <comment ref="E37" authorId="0" shapeId="0" xr:uid="{00000000-0006-0000-0200-00003E000000}">
      <text>
        <r>
          <rPr>
            <sz val="11"/>
            <color rgb="FF000000"/>
            <rFont val="Calibri"/>
            <family val="2"/>
            <scheme val="minor"/>
          </rPr>
          <t>======
ID#AAAAyHH1Sl4
Iñigo    (2023-05-29 02:22:42)
1990-2014 average from own calculations from IEA balances</t>
        </r>
      </text>
    </comment>
    <comment ref="A38" authorId="0" shapeId="0" xr:uid="{00000000-0006-0000-0200-00004C000000}">
      <text>
        <r>
          <rPr>
            <sz val="11"/>
            <color rgb="FF000000"/>
            <rFont val="Calibri"/>
            <family val="2"/>
            <scheme val="minor"/>
          </rPr>
          <t>======
ID#AAAAyHH1SjA
Iñigo    (2023-05-29 02:22:42)
1990-2014 average from IEA balances</t>
        </r>
      </text>
    </comment>
    <comment ref="E38" authorId="0" shapeId="0" xr:uid="{00000000-0006-0000-0200-00001C000000}">
      <text>
        <r>
          <rPr>
            <sz val="11"/>
            <color rgb="FF000000"/>
            <rFont val="Calibri"/>
            <family val="2"/>
            <scheme val="minor"/>
          </rPr>
          <t>======
ID#AAAAyHH1Src
Iñigo    (2023-05-29 02:22:42)
1990-2014 average from own calculations from IEA balances</t>
        </r>
      </text>
    </comment>
    <comment ref="A39" authorId="0" shapeId="0" xr:uid="{00000000-0006-0000-0200-000022000000}">
      <text>
        <r>
          <rPr>
            <sz val="11"/>
            <color rgb="FF000000"/>
            <rFont val="Calibri"/>
            <family val="2"/>
            <scheme val="minor"/>
          </rPr>
          <t>======
ID#AAAAyHH1Sqk
Iñigo    (2023-05-29 02:22:42)
1990-2014 average from IEA balances</t>
        </r>
      </text>
    </comment>
    <comment ref="E39" authorId="0" shapeId="0" xr:uid="{00000000-0006-0000-0200-000026000000}">
      <text>
        <r>
          <rPr>
            <sz val="11"/>
            <color rgb="FF000000"/>
            <rFont val="Calibri"/>
            <family val="2"/>
            <scheme val="minor"/>
          </rPr>
          <t>======
ID#AAAAyHH1SqA
Iñigo    (2023-05-29 02:22:42)
1990-2014 average from own calculations from IEA balances</t>
        </r>
      </text>
    </comment>
    <comment ref="A40" authorId="0" shapeId="0" xr:uid="{00000000-0006-0000-0200-00005D000000}">
      <text>
        <r>
          <rPr>
            <sz val="11"/>
            <color rgb="FF000000"/>
            <rFont val="Calibri"/>
            <family val="2"/>
            <scheme val="minor"/>
          </rPr>
          <t>======
ID#AAAAyHH1Sf4
Iñigo    (2023-05-29 02:22:42)
1990-2014 average from IEA balances</t>
        </r>
      </text>
    </comment>
    <comment ref="E40" authorId="0" shapeId="0" xr:uid="{00000000-0006-0000-0200-000028000000}">
      <text>
        <r>
          <rPr>
            <sz val="11"/>
            <color rgb="FF000000"/>
            <rFont val="Calibri"/>
            <family val="2"/>
            <scheme val="minor"/>
          </rPr>
          <t>======
ID#AAAAyHH1Sp0
Iñigo    (2023-05-29 02:22:42)
1990-2014 average from own calculations from IEA balances</t>
        </r>
      </text>
    </comment>
    <comment ref="A41" authorId="0" shapeId="0" xr:uid="{00000000-0006-0000-0200-000017000000}">
      <text>
        <r>
          <rPr>
            <sz val="11"/>
            <color rgb="FF000000"/>
            <rFont val="Calibri"/>
            <family val="2"/>
            <scheme val="minor"/>
          </rPr>
          <t>======
ID#AAAAyHH1Sr0
Iñigo    (2023-05-29 02:22:43)
1990-2014 average from IEA balances</t>
        </r>
      </text>
    </comment>
    <comment ref="E41" authorId="0" shapeId="0" xr:uid="{00000000-0006-0000-0200-000021000000}">
      <text>
        <r>
          <rPr>
            <sz val="11"/>
            <color rgb="FF000000"/>
            <rFont val="Calibri"/>
            <family val="2"/>
            <scheme val="minor"/>
          </rPr>
          <t>======
ID#AAAAyHH1Sqg
Iñigo    (2023-05-29 02:22:42)
1990-2014 average from own calculations from IEA balances</t>
        </r>
      </text>
    </comment>
    <comment ref="A42" authorId="0" shapeId="0" xr:uid="{00000000-0006-0000-0200-00004F000000}">
      <text>
        <r>
          <rPr>
            <sz val="11"/>
            <color rgb="FF000000"/>
            <rFont val="Calibri"/>
            <family val="2"/>
            <scheme val="minor"/>
          </rPr>
          <t>======
ID#AAAAyHH1Sig
Iñigo    (2023-05-29 02:22:42)
1990-2014 average from IEA balances</t>
        </r>
      </text>
    </comment>
    <comment ref="E42" authorId="0" shapeId="0" xr:uid="{00000000-0006-0000-0200-00007B000000}">
      <text>
        <r>
          <rPr>
            <sz val="11"/>
            <color rgb="FF000000"/>
            <rFont val="Calibri"/>
            <family val="2"/>
            <scheme val="minor"/>
          </rPr>
          <t>======
ID#AAAAx9f-PsU
Iñigo    (2023-05-29 02:22:41)
1990-2014 average from own calculations from IEA balances</t>
        </r>
      </text>
    </comment>
    <comment ref="A43" authorId="0" shapeId="0" xr:uid="{00000000-0006-0000-0200-00005E000000}">
      <text>
        <r>
          <rPr>
            <sz val="11"/>
            <color rgb="FF000000"/>
            <rFont val="Calibri"/>
            <family val="2"/>
            <scheme val="minor"/>
          </rPr>
          <t>======
ID#AAAAyHH1Sfw
Iñigo    (2023-05-29 02:22:42)
1990-2014 average from IEA balances</t>
        </r>
      </text>
    </comment>
    <comment ref="E43" authorId="0" shapeId="0" xr:uid="{00000000-0006-0000-0200-000057000000}">
      <text>
        <r>
          <rPr>
            <sz val="11"/>
            <color rgb="FF000000"/>
            <rFont val="Calibri"/>
            <family val="2"/>
            <scheme val="minor"/>
          </rPr>
          <t>======
ID#AAAAyHH1ShE
Iñigo    (2023-05-29 02:22:42)
1990-2014 average from own calculations from IEA balances</t>
        </r>
      </text>
    </comment>
    <comment ref="A44" authorId="0" shapeId="0" xr:uid="{00000000-0006-0000-0200-000013000000}">
      <text>
        <r>
          <rPr>
            <sz val="11"/>
            <color rgb="FF000000"/>
            <rFont val="Calibri"/>
            <family val="2"/>
            <scheme val="minor"/>
          </rPr>
          <t>======
ID#AAAAyHH1Ssc
Iñigo    (2023-05-29 02:22:43)
1990-2014 average from IEA balances</t>
        </r>
      </text>
    </comment>
    <comment ref="E44" authorId="0" shapeId="0" xr:uid="{00000000-0006-0000-0200-000054000000}">
      <text>
        <r>
          <rPr>
            <sz val="11"/>
            <color rgb="FF000000"/>
            <rFont val="Calibri"/>
            <family val="2"/>
            <scheme val="minor"/>
          </rPr>
          <t>======
ID#AAAAyHH1SiA
Iñigo    (2023-05-29 02:22:42)
1990-2014 average from own calculations from IEA balances</t>
        </r>
      </text>
    </comment>
    <comment ref="A50" authorId="0" shapeId="0" xr:uid="{00000000-0006-0000-0200-000024000000}">
      <text>
        <r>
          <rPr>
            <sz val="11"/>
            <color rgb="FF000000"/>
            <rFont val="Calibri"/>
            <family val="2"/>
            <scheme val="minor"/>
          </rPr>
          <t>======
ID#AAAAyHH1SqQ
EM    (2023-05-29 02:22:42)
IdB: Maggio12 URR (paper) y max extraction (own elaboration from paper)</t>
        </r>
      </text>
    </comment>
    <comment ref="A52" authorId="0" shapeId="0" xr:uid="{00000000-0006-0000-0200-000081000000}">
      <text>
        <r>
          <rPr>
            <sz val="11"/>
            <color rgb="FF000000"/>
            <rFont val="Calibri"/>
            <family val="2"/>
            <scheme val="minor"/>
          </rPr>
          <t>======
ID#AAAAx9f92kc
EM    (2023-05-29 02:22:41)
IdB: Mohr et al, 15 URR (paper) y max extraction (own elaboration from paper)</t>
        </r>
      </text>
    </comment>
    <comment ref="A54" authorId="0" shapeId="0" xr:uid="{00000000-0006-0000-0200-00005F000000}">
      <text>
        <r>
          <rPr>
            <sz val="11"/>
            <color rgb="FF000000"/>
            <rFont val="Calibri"/>
            <family val="2"/>
            <scheme val="minor"/>
          </rPr>
          <t>======
ID#AAAAyHH1Sfs
EM    (2023-05-29 02:22:42)
IdB: Laherrere 2006 URR (paper) y max extraction (own elaboration from paper)</t>
        </r>
      </text>
    </comment>
    <comment ref="A57" authorId="0" shapeId="0" xr:uid="{00000000-0006-0000-0200-000023000000}">
      <text>
        <r>
          <rPr>
            <sz val="11"/>
            <color rgb="FF000000"/>
            <rFont val="Calibri"/>
            <family val="2"/>
            <scheme val="minor"/>
          </rPr>
          <t>======
ID#AAAAyHH1Sqc
EM    (2023-05-29 02:22:42)
IdB: Mohr et al., 2015 URR (paper) y max extraction (own elaboration from paper)</t>
        </r>
      </text>
    </comment>
    <comment ref="A59" authorId="0" shapeId="0" xr:uid="{00000000-0006-0000-0200-000015000000}">
      <text>
        <r>
          <rPr>
            <sz val="11"/>
            <color rgb="FF000000"/>
            <rFont val="Calibri"/>
            <family val="2"/>
            <scheme val="minor"/>
          </rPr>
          <t>======
ID#AAAAyHH1SsU
EM    (2023-05-29 02:22:43)
IdB: Mohr et al., 2015 URR (paper) y max extraction (own elaboration from paper)</t>
        </r>
      </text>
    </comment>
    <comment ref="A61" authorId="0" shapeId="0" xr:uid="{00000000-0006-0000-0200-00000A000000}">
      <text>
        <r>
          <rPr>
            <sz val="11"/>
            <color rgb="FF000000"/>
            <rFont val="Calibri"/>
            <family val="2"/>
            <scheme val="minor"/>
          </rPr>
          <t>======
ID#AAAAyHH1Suk
EM    (2023-05-29 02:22:43)
IdB: Laherrere 2010
URR (paper) y max extraction (own elaboration from paper)</t>
        </r>
      </text>
    </comment>
    <comment ref="A64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======
ID#AAAAyHH1SvY
EM    (2023-05-29 02:22:43)
IdB: Mohr et al., 2015</t>
        </r>
      </text>
    </comment>
    <comment ref="A67" authorId="0" shapeId="0" xr:uid="{00000000-0006-0000-0200-00006B000000}">
      <text>
        <r>
          <rPr>
            <sz val="11"/>
            <color rgb="FF000000"/>
            <rFont val="Calibri"/>
            <family val="2"/>
            <scheme val="minor"/>
          </rPr>
          <t>======
ID#AAAAyHH1Sc4
EM    (2023-05-29 02:22:42)
IdB: Zittel12
URR (paper) y max extraction (own elaboration from paper)</t>
        </r>
      </text>
    </comment>
    <comment ref="C73" authorId="0" shapeId="0" xr:uid="{00000000-0006-0000-0200-000040000000}">
      <text>
        <r>
          <rPr>
            <sz val="11"/>
            <color rgb="FF000000"/>
            <rFont val="Calibri"/>
            <family val="2"/>
            <scheme val="minor"/>
          </rPr>
          <t>======
ID#AAAAyHH1SlU
Iñigo    (2023-05-29 02:22:42)
de Castro et al (2013)
http://www.sciencedirect.com/science/article/pii/S1364032113005807</t>
        </r>
      </text>
    </comment>
    <comment ref="C74" authorId="0" shapeId="0" xr:uid="{00000000-0006-0000-0200-00006C000000}">
      <text>
        <r>
          <rPr>
            <sz val="11"/>
            <color rgb="FF000000"/>
            <rFont val="Calibri"/>
            <family val="2"/>
            <scheme val="minor"/>
          </rPr>
          <t>======
ID#AAAAyHH1Sco
Iñigo    (2023-05-29 02:22:42)
Value for the region "Temperate 1" from Capellán-Pérez et al (2017)
http://www.sciencedirect.com/science/article/pii/S1364032117304720</t>
        </r>
      </text>
    </comment>
    <comment ref="C75" authorId="0" shapeId="0" xr:uid="{00000000-0006-0000-0200-00004A000000}">
      <text>
        <r>
          <rPr>
            <sz val="11"/>
            <color rgb="FF000000"/>
            <rFont val="Calibri"/>
            <family val="2"/>
            <scheme val="minor"/>
          </rPr>
          <t>======
ID#AAAAyHH1Sjg
Iñigo    (2023-05-29 02:22:42)
Value for the region "Temperate 1" from Capellán-Pérez et al (2017)
http://www.sciencedirect.com/science/article/pii/S1364032117304720</t>
        </r>
      </text>
    </comment>
    <comment ref="A79" authorId="0" shapeId="0" xr:uid="{00000000-0006-0000-0200-00007F000000}">
      <text>
        <r>
          <rPr>
            <sz val="11"/>
            <color rgb="FF000000"/>
            <rFont val="Calibri"/>
            <family val="2"/>
            <scheme val="minor"/>
          </rPr>
          <t>======
ID#AAAAx9f92ko
Iñigo    (2023-05-29 02:22:41)
BP 2016</t>
        </r>
      </text>
    </comment>
    <comment ref="E79" authorId="0" shapeId="0" xr:uid="{00000000-0006-0000-0200-00000D000000}">
      <text>
        <r>
          <rPr>
            <sz val="11"/>
            <color rgb="FF000000"/>
            <rFont val="Calibri"/>
            <family val="2"/>
            <scheme val="minor"/>
          </rPr>
          <t>======
ID#AAAAyHH1StQ
EM    (2023-05-29 02:22:43)
IdB: Mohr et al. 2015</t>
        </r>
      </text>
    </comment>
    <comment ref="A80" authorId="0" shapeId="0" xr:uid="{00000000-0006-0000-0200-000079000000}">
      <text>
        <r>
          <rPr>
            <sz val="11"/>
            <color rgb="FF000000"/>
            <rFont val="Calibri"/>
            <family val="2"/>
            <scheme val="minor"/>
          </rPr>
          <t>======
ID#AAAAx9f-qK4
EM    (2023-05-29 02:22:41)
IdB: IEA balances</t>
        </r>
      </text>
    </comment>
    <comment ref="E80" authorId="0" shapeId="0" xr:uid="{00000000-0006-0000-0200-00000B000000}">
      <text>
        <r>
          <rPr>
            <sz val="11"/>
            <color rgb="FF000000"/>
            <rFont val="Calibri"/>
            <family val="2"/>
            <scheme val="minor"/>
          </rPr>
          <t>======
ID#AAAAyHH1St0
EM    (2023-05-29 02:22:43)
IdB: Mohr et al. 2015</t>
        </r>
      </text>
    </comment>
    <comment ref="A81" authorId="0" shapeId="0" xr:uid="{00000000-0006-0000-0200-000059000000}">
      <text>
        <r>
          <rPr>
            <sz val="11"/>
            <color rgb="FF000000"/>
            <rFont val="Calibri"/>
            <family val="2"/>
            <scheme val="minor"/>
          </rPr>
          <t>======
ID#AAAAyHH1Sgo
EM    (2023-05-29 02:22:42)
IdB: IEA balances</t>
        </r>
      </text>
    </comment>
    <comment ref="E81" authorId="0" shapeId="0" xr:uid="{00000000-0006-0000-0200-000012000000}">
      <text>
        <r>
          <rPr>
            <sz val="11"/>
            <color rgb="FF000000"/>
            <rFont val="Calibri"/>
            <family val="2"/>
            <scheme val="minor"/>
          </rPr>
          <t>======
ID#AAAAyHH1Ssk
EM    (2023-05-29 02:22:43)
IdB: Mohr et al. 2015</t>
        </r>
      </text>
    </comment>
    <comment ref="A82" authorId="0" shapeId="0" xr:uid="{00000000-0006-0000-0200-000039000000}">
      <text>
        <r>
          <rPr>
            <sz val="11"/>
            <color rgb="FF000000"/>
            <rFont val="Calibri"/>
            <family val="2"/>
            <scheme val="minor"/>
          </rPr>
          <t>======
ID#AAAAyHH1Smo
Iñigo    (2023-05-29 02:22:42)
own estimation from IRENA (2012-2016)</t>
        </r>
      </text>
    </comment>
    <comment ref="E82" authorId="0" shapeId="0" xr:uid="{00000000-0006-0000-0200-00005B000000}">
      <text>
        <r>
          <rPr>
            <sz val="11"/>
            <color rgb="FF000000"/>
            <rFont val="Calibri"/>
            <family val="2"/>
            <scheme val="minor"/>
          </rPr>
          <t>======
ID#AAAAyHH1SgA
EM    (2023-05-29 02:22:42)
IdB: Mohr et al. 2015</t>
        </r>
      </text>
    </comment>
    <comment ref="A83" authorId="0" shapeId="0" xr:uid="{00000000-0006-0000-0200-000062000000}">
      <text>
        <r>
          <rPr>
            <sz val="11"/>
            <color rgb="FF000000"/>
            <rFont val="Calibri"/>
            <family val="2"/>
            <scheme val="minor"/>
          </rPr>
          <t>======
ID#AAAAyHH1SfE
Iñigo    (2023-05-29 02:22:42)
own estimation from IRENA (2012-2016)</t>
        </r>
      </text>
    </comment>
    <comment ref="E83" authorId="0" shapeId="0" xr:uid="{00000000-0006-0000-0200-000029000000}">
      <text>
        <r>
          <rPr>
            <sz val="11"/>
            <color rgb="FF000000"/>
            <rFont val="Calibri"/>
            <family val="2"/>
            <scheme val="minor"/>
          </rPr>
          <t>======
ID#AAAAyHH1SpY
EM    (2023-05-29 02:22:42)
IdB: Mohr et al. 2015</t>
        </r>
      </text>
    </comment>
    <comment ref="A84" authorId="0" shapeId="0" xr:uid="{00000000-0006-0000-0200-00001A000000}">
      <text>
        <r>
          <rPr>
            <sz val="11"/>
            <color rgb="FF000000"/>
            <rFont val="Calibri"/>
            <family val="2"/>
            <scheme val="minor"/>
          </rPr>
          <t>======
ID#AAAAyHH1Srg
Iñigo    (2023-05-29 02:22:42)
own estimation from IRENA (2012-2016)</t>
        </r>
      </text>
    </comment>
    <comment ref="G84" authorId="0" shapeId="0" xr:uid="{00000000-0006-0000-0200-000005000000}">
      <text>
        <r>
          <rPr>
            <sz val="11"/>
            <color rgb="FF000000"/>
            <rFont val="Calibri"/>
            <family val="2"/>
            <scheme val="minor"/>
          </rPr>
          <t>======
ID#AAAAyHH1SvM
Iñigo    (2023-05-29 02:22:43)
not found</t>
        </r>
      </text>
    </comment>
    <comment ref="A85" authorId="0" shapeId="0" xr:uid="{00000000-0006-0000-0200-00000F000000}">
      <text>
        <r>
          <rPr>
            <sz val="11"/>
            <color rgb="FF000000"/>
            <rFont val="Calibri"/>
            <family val="2"/>
            <scheme val="minor"/>
          </rPr>
          <t>======
ID#AAAAyHH1StM
Iñigo    (2023-05-29 02:22:43)
own estimation from IRENA (2012-2016)</t>
        </r>
      </text>
    </comment>
    <comment ref="A86" authorId="0" shapeId="0" xr:uid="{00000000-0006-0000-0200-000044000000}">
      <text>
        <r>
          <rPr>
            <sz val="11"/>
            <color rgb="FF000000"/>
            <rFont val="Calibri"/>
            <family val="2"/>
            <scheme val="minor"/>
          </rPr>
          <t>======
ID#AAAAyHH1Sk0
Iñigo    (2023-05-29 02:22:42)
own estimation from IRENA (2012-2016)</t>
        </r>
      </text>
    </comment>
    <comment ref="A87" authorId="0" shapeId="0" xr:uid="{00000000-0006-0000-0200-00004E000000}">
      <text>
        <r>
          <rPr>
            <sz val="11"/>
            <color rgb="FF000000"/>
            <rFont val="Calibri"/>
            <family val="2"/>
            <scheme val="minor"/>
          </rPr>
          <t>======
ID#AAAAyHH1Si0
Iñigo    (2023-05-29 02:22:42)
own estimation from IRENA (2012-2016)</t>
        </r>
      </text>
    </comment>
    <comment ref="A88" authorId="0" shapeId="0" xr:uid="{00000000-0006-0000-0200-000052000000}">
      <text>
        <r>
          <rPr>
            <sz val="11"/>
            <color rgb="FF000000"/>
            <rFont val="Calibri"/>
            <family val="2"/>
            <scheme val="minor"/>
          </rPr>
          <t>======
ID#AAAAyHH1SiQ
Iñigo    (2023-05-29 02:22:42)
own estimation from IRENA (2012-2016)</t>
        </r>
      </text>
    </comment>
    <comment ref="A89" authorId="0" shapeId="0" xr:uid="{00000000-0006-0000-0200-000070000000}">
      <text>
        <r>
          <rPr>
            <sz val="11"/>
            <color rgb="FF000000"/>
            <rFont val="Calibri"/>
            <family val="2"/>
            <scheme val="minor"/>
          </rPr>
          <t>======
ID#AAAAyHH1Sb8
Iñigo    (2023-05-29 02:22:42)
own estimation from IRENA (2012-2016)</t>
        </r>
      </text>
    </comment>
    <comment ref="A90" authorId="0" shapeId="0" xr:uid="{00000000-0006-0000-0200-00006D000000}">
      <text>
        <r>
          <rPr>
            <sz val="11"/>
            <color rgb="FF000000"/>
            <rFont val="Calibri"/>
            <family val="2"/>
            <scheme val="minor"/>
          </rPr>
          <t>======
ID#AAAAyHH1ScQ
Iñigo    (2023-05-29 02:22:42)
Own estimation from IRENA (2012-2016)</t>
        </r>
      </text>
    </comment>
    <comment ref="A91" authorId="0" shapeId="0" xr:uid="{00000000-0006-0000-0200-00000E000000}">
      <text>
        <r>
          <rPr>
            <sz val="11"/>
            <color rgb="FF000000"/>
            <rFont val="Calibri"/>
            <family val="2"/>
            <scheme val="minor"/>
          </rPr>
          <t>======
ID#AAAAyHH1StU
Iñigo    (2023-05-29 02:22:43)
own estimations from IEA balances and MEDEAS-World D4.1
Last 5 years (2010-2014)</t>
        </r>
      </text>
    </comment>
    <comment ref="A92" authorId="0" shapeId="0" xr:uid="{00000000-0006-0000-0200-000020000000}">
      <text>
        <r>
          <rPr>
            <sz val="11"/>
            <color rgb="FF000000"/>
            <rFont val="Calibri"/>
            <family val="2"/>
            <scheme val="minor"/>
          </rPr>
          <t>======
ID#AAAAyHH1Sq0
Iñigo    (2023-05-29 02:22:42)
own estimations from IEA balances,  Lund and Freeston (2000), Lund, Freeston and Boyd (2010) and Lund&amp;Boyd (2015). Last 5 years (2010-2014)</t>
        </r>
      </text>
    </comment>
    <comment ref="A93" authorId="0" shapeId="0" xr:uid="{00000000-0006-0000-0200-00001B000000}">
      <text>
        <r>
          <rPr>
            <sz val="11"/>
            <color rgb="FF000000"/>
            <rFont val="Calibri"/>
            <family val="2"/>
            <scheme val="minor"/>
          </rPr>
          <t>======
ID#AAAAyHH1Srk
Iñigo    (2023-05-29 02:22:42)
IEA balances and own estimation
Last 5 years (2010-2014)</t>
        </r>
      </text>
    </comment>
    <comment ref="A94" authorId="0" shapeId="0" xr:uid="{00000000-0006-0000-0200-000035000000}">
      <text>
        <r>
          <rPr>
            <sz val="11"/>
            <color rgb="FF000000"/>
            <rFont val="Calibri"/>
            <family val="2"/>
            <scheme val="minor"/>
          </rPr>
          <t>======
ID#AAAAyHH1SnM
Iñigo    (2023-05-29 02:22:42)
own estimation from Eurostat DATASET: Infrastructure - solar collectors' surface - annual data [nrg_115a]</t>
        </r>
      </text>
    </comment>
    <comment ref="A95" authorId="0" shapeId="0" xr:uid="{00000000-0006-0000-0200-000058000000}">
      <text>
        <r>
          <rPr>
            <sz val="11"/>
            <color rgb="FF000000"/>
            <rFont val="Calibri"/>
            <family val="2"/>
            <scheme val="minor"/>
          </rPr>
          <t>======
ID#AAAAyHH1Sgk
Iñigo    (2023-05-29 02:22:42)
Source: own estimation from: Lund and Freeston (2000), Lund, Freeston and Boyd (2010) and Lund&amp;Boyd (2015)
http://www.sciencedirect.com/science/article/pii/S0375650500000444
http://www.sciencedirect.com/science/article/pii/S0375650511000344
https://www.sciencedirect.com/science/article/pii/S037565051500156X</t>
        </r>
      </text>
    </comment>
    <comment ref="A96" authorId="0" shapeId="0" xr:uid="{00000000-0006-0000-0200-000056000000}">
      <text>
        <r>
          <rPr>
            <sz val="11"/>
            <color rgb="FF000000"/>
            <rFont val="Calibri"/>
            <family val="2"/>
            <scheme val="minor"/>
          </rPr>
          <t>======
ID#AAAAyHH1Shw
Iñigo    (2023-05-29 02:22:42)
own elaboration from IEA balances</t>
        </r>
      </text>
    </comment>
    <comment ref="A100" authorId="0" shapeId="0" xr:uid="{00000000-0006-0000-0200-000045000000}">
      <text>
        <r>
          <rPr>
            <sz val="11"/>
            <color rgb="FF000000"/>
            <rFont val="Calibri"/>
            <family val="2"/>
            <scheme val="minor"/>
          </rPr>
          <t>======
ID#AAAAyHH1Skg
EM    (2023-05-29 02:22:42)
IdB:  IEA balances</t>
        </r>
      </text>
    </comment>
    <comment ref="A101" authorId="0" shapeId="0" xr:uid="{00000000-0006-0000-0200-000032000000}">
      <text>
        <r>
          <rPr>
            <sz val="11"/>
            <color rgb="FF000000"/>
            <rFont val="Calibri"/>
            <family val="2"/>
            <scheme val="minor"/>
          </rPr>
          <t>======
ID#AAAAyHH1Sn8
EM    (2023-05-29 02:22:42)
IdB:  IEA balances</t>
        </r>
      </text>
    </comment>
    <comment ref="A102" authorId="0" shapeId="0" xr:uid="{00000000-0006-0000-0200-000014000000}">
      <text>
        <r>
          <rPr>
            <sz val="11"/>
            <color rgb="FF000000"/>
            <rFont val="Calibri"/>
            <family val="2"/>
            <scheme val="minor"/>
          </rPr>
          <t>======
ID#AAAAyHH1SsQ
EM    (2023-05-29 02:22:43)
IdB:  IEA balances</t>
        </r>
      </text>
    </comment>
    <comment ref="A103" authorId="0" shapeId="0" xr:uid="{00000000-0006-0000-0200-00002D000000}">
      <text>
        <r>
          <rPr>
            <sz val="11"/>
            <color rgb="FF000000"/>
            <rFont val="Calibri"/>
            <family val="2"/>
            <scheme val="minor"/>
          </rPr>
          <t>======
ID#AAAAyHH1Soo
EM    (2023-05-29 02:22:42)
IdB:  IEA balances</t>
        </r>
      </text>
    </comment>
    <comment ref="A104" authorId="0" shapeId="0" xr:uid="{00000000-0006-0000-0200-000077000000}">
      <text>
        <r>
          <rPr>
            <sz val="11"/>
            <color rgb="FF000000"/>
            <rFont val="Calibri"/>
            <family val="2"/>
            <scheme val="minor"/>
          </rPr>
          <t>======
ID#AAAAx9f-qLI
EM    (2023-05-29 02:22:41)
IdB:  IEA balances</t>
        </r>
      </text>
    </comment>
    <comment ref="A105" authorId="0" shapeId="0" xr:uid="{00000000-0006-0000-0200-000065000000}">
      <text>
        <r>
          <rPr>
            <sz val="11"/>
            <color rgb="FF000000"/>
            <rFont val="Calibri"/>
            <family val="2"/>
            <scheme val="minor"/>
          </rPr>
          <t>======
ID#AAAAyHH1SeU
EM    (2023-05-29 02:22:42)
IdB:  IEA balances</t>
        </r>
      </text>
    </comment>
    <comment ref="A106" authorId="0" shapeId="0" xr:uid="{00000000-0006-0000-0200-000060000000}">
      <text>
        <r>
          <rPr>
            <sz val="11"/>
            <color rgb="FF000000"/>
            <rFont val="Calibri"/>
            <family val="2"/>
            <scheme val="minor"/>
          </rPr>
          <t>======
ID#AAAAyHH1SfQ
EM    (2023-05-29 02:22:42)
IdB:  IEA balances</t>
        </r>
      </text>
    </comment>
    <comment ref="A107" authorId="0" shapeId="0" xr:uid="{00000000-0006-0000-0200-000055000000}">
      <text>
        <r>
          <rPr>
            <sz val="11"/>
            <color rgb="FF000000"/>
            <rFont val="Calibri"/>
            <family val="2"/>
            <scheme val="minor"/>
          </rPr>
          <t>======
ID#AAAAyHH1Sh0
EM    (2023-05-29 02:22:42)
IdB:  IEA balances</t>
        </r>
      </text>
    </comment>
    <comment ref="A108" authorId="0" shapeId="0" xr:uid="{00000000-0006-0000-0200-000073000000}">
      <text>
        <r>
          <rPr>
            <sz val="11"/>
            <color rgb="FF000000"/>
            <rFont val="Calibri"/>
            <family val="2"/>
            <scheme val="minor"/>
          </rPr>
          <t>======
ID#AAAAx9f-qLk
EM    (2023-05-29 02:22:41)
IdB:  IEA balances</t>
        </r>
      </text>
    </comment>
    <comment ref="A109" authorId="0" shapeId="0" xr:uid="{00000000-0006-0000-0200-000082000000}">
      <text>
        <r>
          <rPr>
            <sz val="11"/>
            <color rgb="FF000000"/>
            <rFont val="Calibri"/>
            <family val="2"/>
            <scheme val="minor"/>
          </rPr>
          <t>======
ID#AAAAx9f92kU
EM    (2023-05-29 02:22:41)
IdB: IEA balances</t>
        </r>
      </text>
    </comment>
    <comment ref="A110" authorId="0" shapeId="0" xr:uid="{00000000-0006-0000-0200-00007C000000}">
      <text>
        <r>
          <rPr>
            <sz val="11"/>
            <color rgb="FF000000"/>
            <rFont val="Calibri"/>
            <family val="2"/>
            <scheme val="minor"/>
          </rPr>
          <t>======
ID#AAAAx9f-Psc
EM    (2023-05-29 02:22:41)
IdB:  IEA balances</t>
        </r>
      </text>
    </comment>
    <comment ref="A111" authorId="0" shapeId="0" xr:uid="{00000000-0006-0000-0200-00002F000000}">
      <text>
        <r>
          <rPr>
            <sz val="11"/>
            <color rgb="FF000000"/>
            <rFont val="Calibri"/>
            <family val="2"/>
            <scheme val="minor"/>
          </rPr>
          <t>======
ID#AAAAyHH1Soc
Rodrigo González    (2023-05-29 02:22:42)
World energy balances (IEA). Product: Peat and peat products. Flow: Total primary energy supply. Units: EJ</t>
        </r>
      </text>
    </comment>
    <comment ref="A112" authorId="0" shapeId="0" xr:uid="{00000000-0006-0000-0200-000007000000}">
      <text>
        <r>
          <rPr>
            <sz val="11"/>
            <color rgb="FF000000"/>
            <rFont val="Calibri"/>
            <family val="2"/>
            <scheme val="minor"/>
          </rPr>
          <t>======
ID#AAAAyHH1Su8
Rodrigo González    (2023-05-29 02:22:43)
IEA Extended world energy balances. Product: Biogases. Flow: Total primary energy supply. Units: EJ</t>
        </r>
      </text>
    </comment>
    <comment ref="A116" authorId="0" shapeId="0" xr:uid="{00000000-0006-0000-0200-00001F000000}">
      <text>
        <r>
          <rPr>
            <sz val="11"/>
            <color rgb="FF000000"/>
            <rFont val="Calibri"/>
            <family val="2"/>
            <scheme val="minor"/>
          </rPr>
          <t>======
ID#AAAAyHH1SrI
EM    (2023-05-29 02:22:42)
IdB: IEA (2017)</t>
        </r>
      </text>
    </comment>
    <comment ref="A117" authorId="0" shapeId="0" xr:uid="{00000000-0006-0000-0200-000074000000}">
      <text>
        <r>
          <rPr>
            <sz val="11"/>
            <color rgb="FF000000"/>
            <rFont val="Calibri"/>
            <family val="2"/>
            <scheme val="minor"/>
          </rPr>
          <t>======
ID#AAAAx9f-qLs
EM    (2023-05-29 02:22:41)
IdB: IAE (2017)</t>
        </r>
      </text>
    </comment>
    <comment ref="A118" authorId="0" shapeId="0" xr:uid="{00000000-0006-0000-0200-00000C000000}">
      <text>
        <r>
          <rPr>
            <sz val="11"/>
            <color rgb="FF000000"/>
            <rFont val="Calibri"/>
            <family val="2"/>
            <scheme val="minor"/>
          </rPr>
          <t>======
ID#AAAAyHH1Stc
EM    (2023-05-29 02:22:43)
IdB:IEA(2017)</t>
        </r>
      </text>
    </comment>
    <comment ref="A120" authorId="0" shapeId="0" xr:uid="{00000000-0006-0000-0200-000006000000}">
      <text>
        <r>
          <rPr>
            <sz val="11"/>
            <color rgb="FF000000"/>
            <rFont val="Calibri"/>
            <family val="2"/>
            <scheme val="minor"/>
          </rPr>
          <t>======
ID#AAAAyHH1SvQ
EM    (2023-05-29 02:22:43)
IdB:(Mohr et al.,2015)</t>
        </r>
      </text>
    </comment>
    <comment ref="A121" authorId="0" shapeId="0" xr:uid="{00000000-0006-0000-0200-000016000000}">
      <text>
        <r>
          <rPr>
            <sz val="11"/>
            <color rgb="FF000000"/>
            <rFont val="Calibri"/>
            <family val="2"/>
            <scheme val="minor"/>
          </rPr>
          <t>======
ID#AAAAyHH1SsA
EM    (2023-05-29 02:22:43)
IdB:Mohr et al.,2015</t>
        </r>
      </text>
    </comment>
    <comment ref="A122" authorId="0" shapeId="0" xr:uid="{00000000-0006-0000-0200-000068000000}">
      <text>
        <r>
          <rPr>
            <sz val="11"/>
            <color rgb="FF000000"/>
            <rFont val="Calibri"/>
            <family val="2"/>
            <scheme val="minor"/>
          </rPr>
          <t>======
ID#AAAAyHH1Sds
EM    (2023-05-29 02:22:42)
IdB: IEA balances</t>
        </r>
      </text>
    </comment>
    <comment ref="A123" authorId="0" shapeId="0" xr:uid="{00000000-0006-0000-0200-000083000000}">
      <text>
        <r>
          <rPr>
            <sz val="11"/>
            <color rgb="FF000000"/>
            <rFont val="Calibri"/>
            <family val="2"/>
            <scheme val="minor"/>
          </rPr>
          <t>======
ID#AAAAx9f92kM
EM    (2023-05-29 02:22:41)
IdB: IEA balances</t>
        </r>
      </text>
    </comment>
    <comment ref="A125" authorId="0" shapeId="0" xr:uid="{00000000-0006-0000-0200-000025000000}">
      <text>
        <r>
          <rPr>
            <sz val="11"/>
            <color rgb="FF000000"/>
            <rFont val="Calibri"/>
            <family val="2"/>
            <scheme val="minor"/>
          </rPr>
          <t>======
ID#AAAAyHH1Sp8
EM    (2023-05-29 02:22:42)
IdB:IEA balances</t>
        </r>
      </text>
    </comment>
    <comment ref="A126" authorId="0" shapeId="0" xr:uid="{00000000-0006-0000-0200-00003C000000}">
      <text>
        <r>
          <rPr>
            <sz val="11"/>
            <color rgb="FF000000"/>
            <rFont val="Calibri"/>
            <family val="2"/>
            <scheme val="minor"/>
          </rPr>
          <t>======
ID#AAAAyHH1SmE
EM    (2023-05-29 02:22:42)
IdB: IEA balances</t>
        </r>
      </text>
    </comment>
    <comment ref="A127" authorId="0" shapeId="0" xr:uid="{00000000-0006-0000-0200-000075000000}">
      <text>
        <r>
          <rPr>
            <sz val="11"/>
            <color rgb="FF000000"/>
            <rFont val="Calibri"/>
            <family val="2"/>
            <scheme val="minor"/>
          </rPr>
          <t>======
ID#AAAAx9f-qLY
EM    (2023-05-29 02:22:41)
IdB: IEA balances</t>
        </r>
      </text>
    </comment>
    <comment ref="A128" authorId="0" shapeId="0" xr:uid="{00000000-0006-0000-0200-000048000000}">
      <text>
        <r>
          <rPr>
            <sz val="11"/>
            <color rgb="FF000000"/>
            <rFont val="Calibri"/>
            <family val="2"/>
            <scheme val="minor"/>
          </rPr>
          <t>======
ID#AAAAyHH1Sj4
EM    (2023-05-29 02:22:42)
IdB: IEA balances</t>
        </r>
      </text>
    </comment>
    <comment ref="A130" authorId="0" shapeId="0" xr:uid="{00000000-0006-0000-0200-00006F000000}">
      <text>
        <r>
          <rPr>
            <sz val="11"/>
            <color rgb="FF000000"/>
            <rFont val="Calibri"/>
            <family val="2"/>
            <scheme val="minor"/>
          </rPr>
          <t>======
ID#AAAAyHH1ScA
Rodrigo González    (2023-05-29 02:22:42)
BP statistical review of world energy 2017</t>
        </r>
      </text>
    </comment>
    <comment ref="C130" authorId="0" shapeId="0" xr:uid="{00000000-0006-0000-0200-000049000000}">
      <text>
        <r>
          <rPr>
            <sz val="11"/>
            <color rgb="FF000000"/>
            <rFont val="Calibri"/>
            <family val="2"/>
            <scheme val="minor"/>
          </rPr>
          <t>======
ID#AAAAyHH1Sj8
Microsoft Office User    (2023-05-29 02:22:42)
la donnée pour 2017 est + ou moins juste (on produit presque rien, voir État de l'énergie)</t>
        </r>
      </text>
    </comment>
    <comment ref="A132" authorId="0" shapeId="0" xr:uid="{00000000-0006-0000-0200-000043000000}">
      <text>
        <r>
          <rPr>
            <sz val="11"/>
            <color rgb="FF000000"/>
            <rFont val="Calibri"/>
            <family val="2"/>
            <scheme val="minor"/>
          </rPr>
          <t>======
ID#AAAAyHH1SlE
Iñigo    (2023-05-29 02:22:42)
own estimation from Eurostat DATASET: Infrastructure - solar collectors' surface - annual data [nrg_115a]</t>
        </r>
      </text>
    </comment>
    <comment ref="A133" authorId="0" shapeId="0" xr:uid="{00000000-0006-0000-0200-000033000000}">
      <text>
        <r>
          <rPr>
            <sz val="11"/>
            <color rgb="FF000000"/>
            <rFont val="Calibri"/>
            <family val="2"/>
            <scheme val="minor"/>
          </rPr>
          <t>======
ID#AAAAyHH1Sn4
Iñigo    (2023-05-29 02:22:42)
Source: own estimation from: Lund and Freeston (2000), Lund, Freeston and Boyd (2010) and Lund&amp;Boyd (2015):
http://www.sciencedirect.com/science/article/pii/S0375650500000444
http://www.sciencedirect.com/science/article/pii/S0375650511000344
https://www.sciencedirect.com/science/article/pii/S037565051500156X</t>
        </r>
      </text>
    </comment>
    <comment ref="A134" authorId="0" shapeId="0" xr:uid="{00000000-0006-0000-0200-000072000000}">
      <text>
        <r>
          <rPr>
            <sz val="11"/>
            <color rgb="FF000000"/>
            <rFont val="Calibri"/>
            <family val="2"/>
            <scheme val="minor"/>
          </rPr>
          <t>======
ID#AAAAx9f-qLo
Iñigo    (2023-05-29 02:22:41)
own elaboration from IEA balances</t>
        </r>
      </text>
    </comment>
    <comment ref="A136" authorId="0" shapeId="0" xr:uid="{00000000-0006-0000-0200-00007A000000}">
      <text>
        <r>
          <rPr>
            <sz val="11"/>
            <color rgb="FF000000"/>
            <rFont val="Calibri"/>
            <family val="2"/>
            <scheme val="minor"/>
          </rPr>
          <t>======
ID#AAAAx9f-qK0
Iñigo    (2023-05-29 02:22:41)
own estimations from IEA balances and MEDEAS-World D4.1</t>
        </r>
      </text>
    </comment>
    <comment ref="A137" authorId="0" shapeId="0" xr:uid="{00000000-0006-0000-0200-00003F000000}">
      <text>
        <r>
          <rPr>
            <sz val="11"/>
            <color rgb="FF000000"/>
            <rFont val="Calibri"/>
            <family val="2"/>
            <scheme val="minor"/>
          </rPr>
          <t>======
ID#AAAAyHH1Slw
Iñigo    (2023-05-29 02:22:42)
own estimations from IEA balances,  Lund and Freeston (2000), Lund, Freeston and Boyd (2010) and Lund&amp;Boyd (2015)</t>
        </r>
      </text>
    </comment>
    <comment ref="A138" authorId="0" shapeId="0" xr:uid="{00000000-0006-0000-0200-000009000000}">
      <text>
        <r>
          <rPr>
            <sz val="11"/>
            <color rgb="FF000000"/>
            <rFont val="Calibri"/>
            <family val="2"/>
            <scheme val="minor"/>
          </rPr>
          <t>======
ID#AAAAyHH1Su0
Iñigo    (2023-05-29 02:22:43)
own estimations from IEA balances</t>
        </r>
      </text>
    </comment>
    <comment ref="A140" authorId="0" shapeId="0" xr:uid="{00000000-0006-0000-0200-000037000000}">
      <text>
        <r>
          <rPr>
            <sz val="11"/>
            <color rgb="FF000000"/>
            <rFont val="Calibri"/>
            <family val="2"/>
            <scheme val="minor"/>
          </rPr>
          <t>======
ID#AAAAyHH1Sms
Iñigo    (2023-05-29 02:22:42)
IEA Extended world energy balances. Product: Nuclear. Flow: Electricity output (GWh)</t>
        </r>
      </text>
    </comment>
    <comment ref="A141" authorId="0" shapeId="0" xr:uid="{00000000-0006-0000-0200-000036000000}">
      <text>
        <r>
          <rPr>
            <sz val="11"/>
            <color rgb="FF000000"/>
            <rFont val="Calibri"/>
            <family val="2"/>
            <scheme val="minor"/>
          </rPr>
          <t>======
ID#AAAAyHH1SnQ
EM    (2023-05-29 02:22:42)
Iñigo: Van de Ven et al (2018, forthcoming).
Data for 2005, 2010 and 2015.</t>
        </r>
      </text>
    </comment>
    <comment ref="A142" authorId="0" shapeId="0" xr:uid="{00000000-0006-0000-0200-000038000000}">
      <text>
        <r>
          <rPr>
            <sz val="11"/>
            <color rgb="FF000000"/>
            <rFont val="Calibri"/>
            <family val="2"/>
            <scheme val="minor"/>
          </rPr>
          <t>======
ID#AAAAyHH1Smw
Iñigo    (2023-05-29 02:22:42)
IEA Balances</t>
        </r>
      </text>
    </comment>
    <comment ref="A144" authorId="0" shapeId="0" xr:uid="{00000000-0006-0000-0200-000046000000}">
      <text>
        <r>
          <rPr>
            <sz val="11"/>
            <color rgb="FF000000"/>
            <rFont val="Calibri"/>
            <family val="2"/>
            <scheme val="minor"/>
          </rPr>
          <t>======
ID#AAAAyHH1SkQ
Iñigo    (2023-05-29 02:22:42)
IRENA and own estimation</t>
        </r>
      </text>
    </comment>
    <comment ref="A145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======
ID#AAAAyHH1Svk
Iñigo    (2023-05-29 02:22:43)
IRENA and own estimation</t>
        </r>
      </text>
    </comment>
    <comment ref="A146" authorId="0" shapeId="0" xr:uid="{00000000-0006-0000-0200-000008000000}">
      <text>
        <r>
          <rPr>
            <sz val="11"/>
            <color rgb="FF000000"/>
            <rFont val="Calibri"/>
            <family val="2"/>
            <scheme val="minor"/>
          </rPr>
          <t>======
ID#AAAAyHH1SvA
Iñigo    (2023-05-29 02:22:43)
IRENA and own estimation</t>
        </r>
      </text>
    </comment>
    <comment ref="A147" authorId="0" shapeId="0" xr:uid="{00000000-0006-0000-0200-000069000000}">
      <text>
        <r>
          <rPr>
            <sz val="11"/>
            <color rgb="FF000000"/>
            <rFont val="Calibri"/>
            <family val="2"/>
            <scheme val="minor"/>
          </rPr>
          <t>======
ID#AAAAyHH1Sdg
Iñigo    (2023-05-29 02:22:42)
IRENA and own estimation</t>
        </r>
      </text>
    </comment>
    <comment ref="A148" authorId="0" shapeId="0" xr:uid="{00000000-0006-0000-0200-00005A000000}">
      <text>
        <r>
          <rPr>
            <sz val="11"/>
            <color rgb="FF000000"/>
            <rFont val="Calibri"/>
            <family val="2"/>
            <scheme val="minor"/>
          </rPr>
          <t>======
ID#AAAAyHH1SgY
Iñigo    (2023-05-29 02:22:42)
IRENA and own estimation</t>
        </r>
      </text>
    </comment>
    <comment ref="A149" authorId="0" shapeId="0" xr:uid="{00000000-0006-0000-0200-000084000000}">
      <text>
        <r>
          <rPr>
            <sz val="11"/>
            <color rgb="FF000000"/>
            <rFont val="Calibri"/>
            <family val="2"/>
            <scheme val="minor"/>
          </rPr>
          <t>======
ID#AAAAx9f92kI
Iñigo    (2023-05-29 02:22:41)
IRENA and own estimation</t>
        </r>
      </text>
    </comment>
    <comment ref="A150" authorId="0" shapeId="0" xr:uid="{00000000-0006-0000-0200-00005C000000}">
      <text>
        <r>
          <rPr>
            <sz val="11"/>
            <color rgb="FF000000"/>
            <rFont val="Calibri"/>
            <family val="2"/>
            <scheme val="minor"/>
          </rPr>
          <t>======
ID#AAAAyHH1SgE
Iñigo    (2023-05-29 02:22:42)
IRENA and own estimation</t>
        </r>
      </text>
    </comment>
    <comment ref="A151" authorId="0" shapeId="0" xr:uid="{00000000-0006-0000-0200-000027000000}">
      <text>
        <r>
          <rPr>
            <sz val="11"/>
            <color rgb="FF000000"/>
            <rFont val="Calibri"/>
            <family val="2"/>
            <scheme val="minor"/>
          </rPr>
          <t>======
ID#AAAAyHH1Spw
Iñigo    (2023-05-29 02:22:42)
IRENA and own estimation</t>
        </r>
      </text>
    </comment>
    <comment ref="A152" authorId="0" shapeId="0" xr:uid="{00000000-0006-0000-0200-00004B000000}">
      <text>
        <r>
          <rPr>
            <sz val="11"/>
            <color rgb="FF000000"/>
            <rFont val="Calibri"/>
            <family val="2"/>
            <scheme val="minor"/>
          </rPr>
          <t>======
ID#AAAAyHH1SjQ
Iñigo    (2023-05-29 02:22:42)
IRENA and own estimation</t>
        </r>
      </text>
    </comment>
    <comment ref="A156" authorId="0" shapeId="0" xr:uid="{00000000-0006-0000-0200-000011000000}">
      <text>
        <r>
          <rPr>
            <sz val="11"/>
            <color rgb="FF000000"/>
            <rFont val="Calibri"/>
            <family val="2"/>
            <scheme val="minor"/>
          </rPr>
          <t>======
ID#AAAAyHH1Ss8
Étienne Guertin    (2023-05-29 02:22:43)
Table 25-10-0029-01 StatCan</t>
        </r>
      </text>
    </comment>
    <comment ref="A157" authorId="0" shapeId="0" xr:uid="{00000000-0006-0000-0200-00003B000000}">
      <text>
        <r>
          <rPr>
            <sz val="11"/>
            <color rgb="FF000000"/>
            <rFont val="Calibri"/>
            <family val="2"/>
            <scheme val="minor"/>
          </rPr>
          <t>======
ID#AAAAyHH1SmM
Étienne Guertin    (2023-05-29 02:22:42)
Table 25-10-0030-01 StatCan</t>
        </r>
      </text>
    </comment>
    <comment ref="A158" authorId="0" shapeId="0" xr:uid="{00000000-0006-0000-0200-000034000000}">
      <text>
        <r>
          <rPr>
            <sz val="11"/>
            <color rgb="FF000000"/>
            <rFont val="Calibri"/>
            <family val="2"/>
            <scheme val="minor"/>
          </rPr>
          <t>======
ID#AAAAyHH1Snc
Étienne Guertin    (2023-05-29 02:22:42)
Table 25-10-0030-01 StatCan</t>
        </r>
      </text>
    </comment>
    <comment ref="A160" authorId="0" shapeId="0" xr:uid="{00000000-0006-0000-0200-00001E000000}">
      <text>
        <r>
          <rPr>
            <sz val="11"/>
            <color rgb="FF000000"/>
            <rFont val="Calibri"/>
            <family val="2"/>
            <scheme val="minor"/>
          </rPr>
          <t>======
ID#AAAAyHH1SrE
EM    (2023-05-29 02:22:42)
IdB:  IEA balances</t>
        </r>
      </text>
    </comment>
    <comment ref="A161" authorId="0" shapeId="0" xr:uid="{00000000-0006-0000-0200-000030000000}">
      <text>
        <r>
          <rPr>
            <sz val="11"/>
            <color rgb="FF000000"/>
            <rFont val="Calibri"/>
            <family val="2"/>
            <scheme val="minor"/>
          </rPr>
          <t>======
ID#AAAAyHH1SoY
EM    (2023-05-29 02:22:42)
IdB:  IEA balances</t>
        </r>
      </text>
    </comment>
    <comment ref="A162" authorId="0" shapeId="0" xr:uid="{00000000-0006-0000-0200-000047000000}">
      <text>
        <r>
          <rPr>
            <sz val="11"/>
            <color rgb="FF000000"/>
            <rFont val="Calibri"/>
            <family val="2"/>
            <scheme val="minor"/>
          </rPr>
          <t>======
ID#AAAAyHH1SkY
EM    (2023-05-29 02:22:42)
IdB:  IEA balances</t>
        </r>
      </text>
    </comment>
    <comment ref="A168" authorId="0" shapeId="0" xr:uid="{00000000-0006-0000-0200-000050000000}">
      <text>
        <r>
          <rPr>
            <sz val="11"/>
            <color rgb="FF000000"/>
            <rFont val="Calibri"/>
            <family val="2"/>
            <scheme val="minor"/>
          </rPr>
          <t>======
ID#AAAAyHH1SiU
Rodrigo González    (2023-05-29 02:22:42)
IdB: Industrial waste+municipal waste (renewable)+municipale waste (non-renewable) from IEA balances</t>
        </r>
      </text>
    </comment>
    <comment ref="A170" authorId="0" shapeId="0" xr:uid="{00000000-0006-0000-0200-00001D000000}">
      <text>
        <r>
          <rPr>
            <sz val="11"/>
            <color rgb="FF000000"/>
            <rFont val="Calibri"/>
            <family val="2"/>
            <scheme val="minor"/>
          </rPr>
          <t>======
ID#AAAAyHH1SrM
Iñigo    (2023-05-29 02:22:42)
IEA balances</t>
        </r>
      </text>
    </comment>
    <comment ref="A172" authorId="0" shapeId="0" xr:uid="{00000000-0006-0000-0200-00003D000000}">
      <text>
        <r>
          <rPr>
            <sz val="11"/>
            <color rgb="FF000000"/>
            <rFont val="Calibri"/>
            <family val="2"/>
            <scheme val="minor"/>
          </rPr>
          <t>======
ID#AAAAyHH1Sl0
Iñigo    (2023-05-29 02:22:42)
own estimation from Mohr et al 2015 and BP 2017</t>
        </r>
      </text>
    </comment>
    <comment ref="A173" authorId="0" shapeId="0" xr:uid="{00000000-0006-0000-0200-000064000000}">
      <text>
        <r>
          <rPr>
            <sz val="11"/>
            <color rgb="FF000000"/>
            <rFont val="Calibri"/>
            <family val="2"/>
            <scheme val="minor"/>
          </rPr>
          <t>======
ID#AAAAyHH1Sec
Iñigo    (2023-05-29 02:22:42)
own estimation from Mohr et al 2015 and BP 2017</t>
        </r>
      </text>
    </comment>
    <comment ref="A174" authorId="0" shapeId="0" xr:uid="{00000000-0006-0000-0200-00007E000000}">
      <text>
        <r>
          <rPr>
            <sz val="11"/>
            <color rgb="FF000000"/>
            <rFont val="Calibri"/>
            <family val="2"/>
            <scheme val="minor"/>
          </rPr>
          <t>======
ID#AAAAx9f92kk
Iñigo    (2023-05-29 02:22:41)
own estimation from Mohr et al 2015 and BP 2017</t>
        </r>
      </text>
    </comment>
    <comment ref="A175" authorId="0" shapeId="0" xr:uid="{00000000-0006-0000-0200-00004D000000}">
      <text>
        <r>
          <rPr>
            <sz val="11"/>
            <color rgb="FF000000"/>
            <rFont val="Calibri"/>
            <family val="2"/>
            <scheme val="minor"/>
          </rPr>
          <t>======
ID#AAAAyHH1SjI
Iñigo    (2023-05-29 02:22:42)
own estimation from Mohr et al 2015 and BP 2017</t>
        </r>
      </text>
    </comment>
    <comment ref="A176" authorId="0" shapeId="0" xr:uid="{00000000-0006-0000-0200-000004000000}">
      <text>
        <r>
          <rPr>
            <sz val="11"/>
            <color rgb="FF000000"/>
            <rFont val="Calibri"/>
            <family val="2"/>
            <scheme val="minor"/>
          </rPr>
          <t>======
ID#AAAAyHH1Svc
Iñigo    (2023-05-29 02:22:43)
own estimation from Mohr et al 2015 and BP 2017</t>
        </r>
      </text>
    </comment>
    <comment ref="A177" authorId="0" shapeId="0" xr:uid="{00000000-0006-0000-0200-00007D000000}">
      <text>
        <r>
          <rPr>
            <sz val="11"/>
            <color rgb="FF000000"/>
            <rFont val="Calibri"/>
            <family val="2"/>
            <scheme val="minor"/>
          </rPr>
          <t>======
ID#AAAAx9f-Pr8
Iñigo    (2023-05-29 02:22:41)
BGS 2018
https://www.bgs.ac.uk/mineralsuk/statistics/wms.cfc?method=searchWMS</t>
        </r>
      </text>
    </comment>
    <comment ref="C201" authorId="0" shapeId="0" xr:uid="{00000000-0006-0000-0200-00003A000000}">
      <text>
        <r>
          <rPr>
            <sz val="11"/>
            <color rgb="FF000000"/>
            <rFont val="Calibri"/>
            <family val="2"/>
            <scheme val="minor"/>
          </rPr>
          <t>======
ID#AAAAyHH1SmU
Microsoft Office User    (2023-05-29 02:22:42)
https://www.lesoleil.com/2018/09/04/plus-verte-et-moins-chere-lhydroelectricite-834b8a6346d4048dbb3d9db6e9284a7c</t>
        </r>
      </text>
    </comment>
    <comment ref="C204" authorId="0" shapeId="0" xr:uid="{00000000-0006-0000-0200-000019000000}">
      <text>
        <r>
          <rPr>
            <sz val="11"/>
            <color rgb="FF000000"/>
            <rFont val="Calibri"/>
            <family val="2"/>
            <scheme val="minor"/>
          </rPr>
          <t>======
ID#AAAAyHH1Sro
Microsoft Office User    (2023-05-29 02:22:43)
https://www.hydroquebec.com/data/developpement-durable/pdf/fiche-hydrolienne-2021.pdf</t>
        </r>
      </text>
    </comment>
    <comment ref="C205" authorId="0" shapeId="0" xr:uid="{00000000-0006-0000-0200-00002A000000}">
      <text>
        <r>
          <rPr>
            <sz val="11"/>
            <color rgb="FF000000"/>
            <rFont val="Calibri"/>
            <family val="2"/>
            <scheme val="minor"/>
          </rPr>
          <t>======
ID#AAAAyHH1SpM
Microsoft Office User    (2023-05-29 02:22:42)
https://aqper.com/fr/quel-est-le-potentiel-eolien-du-quebec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JiywBNO67KgjZ6x84AwM3xt0b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300-000020000000}">
      <text>
        <r>
          <rPr>
            <sz val="11"/>
            <color rgb="FF000000"/>
            <rFont val="Calibri"/>
            <family val="2"/>
            <scheme val="minor"/>
          </rPr>
          <t>======
ID#AAAAx9f-PsM
Étienne Guertin    (2023-05-29 02:22:41)
minimum demand over time;
supposedly this is the minimum fraction of the production capacity that is being produced at any time
------
ID#AAABXGHczKI
Étienne Guertin    (2024-10-23 18:42:03)
minimum fraction of production capacity that is being utilized at any time</t>
        </r>
      </text>
    </comment>
    <comment ref="C2" authorId="0" shapeId="0" xr:uid="{00000000-0006-0000-0300-00001B000000}">
      <text>
        <r>
          <rPr>
            <sz val="11"/>
            <color rgb="FF000000"/>
            <rFont val="Calibri"/>
            <family val="2"/>
            <scheme val="minor"/>
          </rPr>
          <t>======
ID#AAAAyHH1SeA
Étienne Guertin    (2023-05-29 02:22:42)
capacity factor; in the long term, 
energy production/energy production potential
Power*capacity factor*time = actual energy production
------
ID#AAABXGHczKA
Étienne Guertin    (2024-10-23 18:41:35)
maximum fraction of production capacity that is being utilized in the long term</t>
        </r>
      </text>
    </comment>
    <comment ref="E2" authorId="0" shapeId="0" xr:uid="{00000000-0006-0000-0300-000006000000}">
      <text>
        <r>
          <rPr>
            <sz val="11"/>
            <color rgb="FF000000"/>
            <rFont val="Calibri"/>
            <family val="2"/>
            <scheme val="minor"/>
          </rPr>
          <t>======
ID#AAABXGHiwks
Étienne Guertin    (2024-10-23 18:52:14)
I think this isn't necessary for now (there are values for Catalonia in Enric's latest input spreadsheet, May30th 2023)</t>
        </r>
      </text>
    </comment>
    <comment ref="B4" authorId="0" shapeId="0" xr:uid="{00000000-0006-0000-0300-00000E000000}">
      <text>
        <r>
          <rPr>
            <sz val="11"/>
            <color rgb="FF000000"/>
            <rFont val="Calibri"/>
            <family val="2"/>
            <scheme val="minor"/>
          </rPr>
          <t>======
ID#AAAAyLOXlvw
Étienne Guertin    (2023-05-30 23:13:03)
forget about these in new model</t>
        </r>
      </text>
    </comment>
    <comment ref="A28" authorId="0" shapeId="0" xr:uid="{00000000-0006-0000-0300-00000D000000}">
      <text>
        <r>
          <rPr>
            <sz val="11"/>
            <color rgb="FF000000"/>
            <rFont val="Calibri"/>
            <family val="2"/>
            <scheme val="minor"/>
          </rPr>
          <t>======
ID#AAAAyLOXlwA
Étienne Guertin    (2023-05-30 23:13:03)
PEpc: primary energy per capita</t>
        </r>
      </text>
    </comment>
    <comment ref="A30" authorId="0" shapeId="0" xr:uid="{00000000-0006-0000-0300-000008000000}">
      <text>
        <r>
          <rPr>
            <sz val="11"/>
            <color rgb="FF000000"/>
            <rFont val="Calibri"/>
            <family val="2"/>
            <scheme val="minor"/>
          </rPr>
          <t>======
ID#AAAA1HsIUU4
Étienne Guertin    (2023-07-14 19:44:36)
see WorkPlan</t>
        </r>
      </text>
    </comment>
    <comment ref="A31" authorId="0" shapeId="0" xr:uid="{00000000-0006-0000-0300-000019000000}">
      <text>
        <r>
          <rPr>
            <sz val="11"/>
            <color rgb="FF000000"/>
            <rFont val="Calibri"/>
            <family val="2"/>
            <scheme val="minor"/>
          </rPr>
          <t>======
ID#AAAAyHH1ShM
Étienne Guertin    (2023-05-29 02:22:42)
Final energy demand for Heating over Final energy demand for specific energy source</t>
        </r>
      </text>
    </comment>
    <comment ref="C83" authorId="0" shapeId="0" xr:uid="{00000000-0006-0000-0300-00000C000000}">
      <text>
        <r>
          <rPr>
            <sz val="11"/>
            <color rgb="FF000000"/>
            <rFont val="Calibri"/>
            <family val="2"/>
            <scheme val="minor"/>
          </rPr>
          <t>======
ID#AAAA1HsIUUc
Étienne Guertin    (2023-07-14 19:23:20)
estimation selon Puissance installée 2010-2020</t>
        </r>
      </text>
    </comment>
    <comment ref="G84" authorId="0" shapeId="0" xr:uid="{00000000-0006-0000-0300-000011000000}">
      <text>
        <r>
          <rPr>
            <sz val="11"/>
            <color rgb="FF000000"/>
            <rFont val="Calibri"/>
            <family val="2"/>
            <scheme val="minor"/>
          </rPr>
          <t>======
ID#AAAAyHH1Sr4
Iñigo    (2023-05-29 02:22:43)
not found</t>
        </r>
      </text>
    </comment>
    <comment ref="C87" authorId="0" shapeId="0" xr:uid="{00000000-0006-0000-0300-00000B000000}">
      <text>
        <r>
          <rPr>
            <sz val="11"/>
            <color rgb="FF000000"/>
            <rFont val="Calibri"/>
            <family val="2"/>
            <scheme val="minor"/>
          </rPr>
          <t>======
ID#AAAA1HsIUUg
Étienne Guertin    (2023-07-14 19:24:25)
estimation selon Puissance installée 2010-2020</t>
        </r>
      </text>
    </comment>
    <comment ref="A116" authorId="0" shapeId="0" xr:uid="{00000000-0006-0000-0300-000010000000}">
      <text>
        <r>
          <rPr>
            <sz val="11"/>
            <color rgb="FF000000"/>
            <rFont val="Calibri"/>
            <family val="2"/>
            <scheme val="minor"/>
          </rPr>
          <t>======
ID#AAAAyHH1SsM
Étienne Guertin    (2023-05-29 02:22:43)
CHP: combined Heat &amp; Power
Québec has 'centrale de Bécancour' which does CHP, maybe others</t>
        </r>
      </text>
    </comment>
    <comment ref="C116" authorId="0" shapeId="0" xr:uid="{00000000-0006-0000-0300-000005000000}">
      <text>
        <r>
          <rPr>
            <sz val="11"/>
            <color rgb="FF000000"/>
            <rFont val="Calibri"/>
            <family val="2"/>
            <scheme val="minor"/>
          </rPr>
          <t>======
ID#AAABZnhg-ls
Étienne Guertin    (2024-12-04 19:00:42)
find if quebec has any combined heat and power plants. if so this is important. Mais je pense que c'est minime comparé à hydro - ce qui simplifie la partie énergie.</t>
        </r>
      </text>
    </comment>
    <comment ref="A125" authorId="0" shapeId="0" xr:uid="{00000000-0006-0000-0300-000013000000}">
      <text>
        <r>
          <rPr>
            <sz val="11"/>
            <color rgb="FF000000"/>
            <rFont val="Calibri"/>
            <family val="2"/>
            <scheme val="minor"/>
          </rPr>
          <t>======
ID#AAAAyHH1SnU
Étienne Guertin    (2023-05-29 02:22:42)
gross approximation,
To use: Table 2510002201 from stats Can combined with some other table</t>
        </r>
      </text>
    </comment>
    <comment ref="A126" authorId="0" shapeId="0" xr:uid="{00000000-0006-0000-0300-000004000000}">
      <text>
        <r>
          <rPr>
            <sz val="11"/>
            <color rgb="FF000000"/>
            <rFont val="Calibri"/>
            <family val="2"/>
            <scheme val="minor"/>
          </rPr>
          <t>======
ID#AAABZnhg-l0
Étienne Guertin    (2024-12-04 19:04:17)
gross approximation,
To use: Table 2510002201 from stats Can combined with some other table</t>
        </r>
      </text>
    </comment>
    <comment ref="A127" authorId="0" shapeId="0" xr:uid="{00000000-0006-0000-0300-000003000000}">
      <text>
        <r>
          <rPr>
            <sz val="11"/>
            <color rgb="FF000000"/>
            <rFont val="Calibri"/>
            <family val="2"/>
            <scheme val="minor"/>
          </rPr>
          <t>======
ID#AAABZnhg-l4
Étienne Guertin    (2024-12-04 19:04:26)
gross approximation,
To use: Table 2510002201 from stats Can combined with some other table</t>
        </r>
      </text>
    </comment>
    <comment ref="A128" authorId="0" shapeId="0" xr:uid="{00000000-0006-0000-0300-000002000000}">
      <text>
        <r>
          <rPr>
            <sz val="11"/>
            <color rgb="FF000000"/>
            <rFont val="Calibri"/>
            <family val="2"/>
            <scheme val="minor"/>
          </rPr>
          <t>======
ID#AAABZnhg-l8
Étienne Guertin    (2024-12-04 19:04:30)
gross approximation,
To use: Table 2510002201 from stats Can combined with some other table</t>
        </r>
      </text>
    </comment>
    <comment ref="C130" authorId="0" shapeId="0" xr:uid="{00000000-0006-0000-0300-000022000000}">
      <text>
        <r>
          <rPr>
            <sz val="11"/>
            <color rgb="FF000000"/>
            <rFont val="Calibri"/>
            <family val="2"/>
            <scheme val="minor"/>
          </rPr>
          <t>======
ID#AAAAx9f92kY
Étienne Guertin    (2023-05-29 02:22:41)
la donnée pour 2017 est + ou moins juste (on produit presque rien, voir État de l'énergie)</t>
        </r>
      </text>
    </comment>
    <comment ref="A134" authorId="0" shapeId="0" xr:uid="{00000000-0006-0000-0300-000009000000}">
      <text>
        <r>
          <rPr>
            <sz val="11"/>
            <color rgb="FF000000"/>
            <rFont val="Calibri"/>
            <family val="2"/>
            <scheme val="minor"/>
          </rPr>
          <t>======
ID#AAAA1HsIUU0
Étienne Guertin    (2023-07-14 19:43:24)
residential heating with wood</t>
        </r>
      </text>
    </comment>
    <comment ref="C134" authorId="0" shapeId="0" xr:uid="{00000000-0006-0000-0300-00000A000000}">
      <text>
        <r>
          <rPr>
            <sz val="11"/>
            <color rgb="FF000000"/>
            <rFont val="Calibri"/>
            <family val="2"/>
            <scheme val="minor"/>
          </rPr>
          <t>======
ID#AAAA1HsIUUs
Étienne Guertin    (2023-07-14 19:42:20)
Taken from energyusepersectorQCcompilationActive.xlsx, calculations tab, Households heating solids bioE (the only solid bioE heating use in Québec according to the data)</t>
        </r>
      </text>
    </comment>
    <comment ref="C138" authorId="0" shapeId="0" xr:uid="{00000000-0006-0000-0300-000007000000}">
      <text>
        <r>
          <rPr>
            <sz val="11"/>
            <color rgb="FF000000"/>
            <rFont val="Calibri"/>
            <family val="2"/>
            <scheme val="minor"/>
          </rPr>
          <t>======
ID#AAAA1HsIUU8
Étienne Guertin    (2023-07-14 19:45:07)
nothing?</t>
        </r>
      </text>
    </comment>
    <comment ref="A142" authorId="0" shapeId="0" xr:uid="{00000000-0006-0000-0300-00001F000000}">
      <text>
        <r>
          <rPr>
            <sz val="11"/>
            <color rgb="FF000000"/>
            <rFont val="Calibri"/>
            <family val="2"/>
            <scheme val="minor"/>
          </rPr>
          <t>======
ID#AAAAx9f-Pss
Étienne Guertin    (2023-05-29 02:22:41)
This is part of distribution losses in the model, probably energy consumption to operate pipelines</t>
        </r>
      </text>
    </comment>
    <comment ref="A143" authorId="0" shapeId="0" xr:uid="{00000000-0006-0000-0300-000014000000}">
      <text>
        <r>
          <rPr>
            <sz val="11"/>
            <color rgb="FF000000"/>
            <rFont val="Calibri"/>
            <family val="2"/>
            <scheme val="minor"/>
          </rPr>
          <t>======
ID#AAAAyHH1Sm4
Étienne Guertin    (2023-05-29 02:22:42)
Québec doesn't have centralized (H-Q) installed capacity for NREs except hydro and wind.</t>
        </r>
      </text>
    </comment>
    <comment ref="A144" authorId="0" shapeId="0" xr:uid="{00000000-0006-0000-0300-00000F000000}">
      <text>
        <r>
          <rPr>
            <sz val="11"/>
            <color rgb="FF000000"/>
            <rFont val="Calibri"/>
            <family val="2"/>
            <scheme val="minor"/>
          </rPr>
          <t>======
ID#AAAAyHH1SuE
Étienne Guertin    (2023-05-29 02:22:43)
Table 25-10-0022-01 (Stats Can)
2000-2005 extrapolated</t>
        </r>
      </text>
    </comment>
    <comment ref="A148" authorId="0" shapeId="0" xr:uid="{00000000-0006-0000-0300-00001E000000}">
      <text>
        <r>
          <rPr>
            <sz val="11"/>
            <color rgb="FF000000"/>
            <rFont val="Calibri"/>
            <family val="2"/>
            <scheme val="minor"/>
          </rPr>
          <t>======
ID#AAAAx9f-qK8
Étienne Guertin    (2023-05-29 02:22:41)
Table 25-10-0022-01 (Stats Can)
2000-2005 extrapolated</t>
        </r>
      </text>
    </comment>
    <comment ref="A154" authorId="0" shapeId="0" xr:uid="{00000000-0006-0000-0300-000018000000}">
      <text>
        <r>
          <rPr>
            <sz val="11"/>
            <color rgb="FF000000"/>
            <rFont val="Calibri"/>
            <family val="2"/>
            <scheme val="minor"/>
          </rPr>
          <t>======
ID#AAAAyHH1Sik
Étienne Guertin    (2023-05-29 02:22:42)
Table 25-10-0029-01 StatCan</t>
        </r>
      </text>
    </comment>
    <comment ref="A155" authorId="0" shapeId="0" xr:uid="{00000000-0006-0000-0300-00001D000000}">
      <text>
        <r>
          <rPr>
            <sz val="11"/>
            <color rgb="FF000000"/>
            <rFont val="Calibri"/>
            <family val="2"/>
            <scheme val="minor"/>
          </rPr>
          <t>======
ID#AAAAyHH1Scs
Étienne Guertin    (2023-05-29 02:22:42)
Table 25-10-0029-01 StatCan</t>
        </r>
      </text>
    </comment>
    <comment ref="A156" authorId="0" shapeId="0" xr:uid="{00000000-0006-0000-0300-00001C000000}">
      <text>
        <r>
          <rPr>
            <sz val="11"/>
            <color rgb="FF000000"/>
            <rFont val="Calibri"/>
            <family val="2"/>
            <scheme val="minor"/>
          </rPr>
          <t>======
ID#AAAAyHH1SdY
Étienne Guertin    (2023-05-29 02:22:42)
Table 25-10-0029-01 StatCan</t>
        </r>
      </text>
    </comment>
    <comment ref="A157" authorId="0" shapeId="0" xr:uid="{00000000-0006-0000-0300-00001A000000}">
      <text>
        <r>
          <rPr>
            <sz val="11"/>
            <color rgb="FF000000"/>
            <rFont val="Calibri"/>
            <family val="2"/>
            <scheme val="minor"/>
          </rPr>
          <t>======
ID#AAAAyHH1Sgg
Étienne Guertin    (2023-05-29 02:22:42)
Table 25-10-0029-01 StatCan</t>
        </r>
      </text>
    </comment>
    <comment ref="A158" authorId="0" shapeId="0" xr:uid="{00000000-0006-0000-0300-000016000000}">
      <text>
        <r>
          <rPr>
            <sz val="11"/>
            <color rgb="FF000000"/>
            <rFont val="Calibri"/>
            <family val="2"/>
            <scheme val="minor"/>
          </rPr>
          <t>======
ID#AAAAyHH1SjE
Étienne Guertin    (2023-05-29 02:22:42)
Table 25-10-0029-01 StatCan</t>
        </r>
      </text>
    </comment>
    <comment ref="A170" authorId="0" shapeId="0" xr:uid="{00000000-0006-0000-0300-000017000000}">
      <text>
        <r>
          <rPr>
            <sz val="11"/>
            <color rgb="FF000000"/>
            <rFont val="Calibri"/>
            <family val="2"/>
            <scheme val="minor"/>
          </rPr>
          <t>======
ID#AAAAyHH1Siw
Étienne Guertin    (2023-05-29 02:22:42)
used for EROI calculations</t>
        </r>
      </text>
    </comment>
    <comment ref="C201" authorId="0" shapeId="0" xr:uid="{00000000-0006-0000-0300-000015000000}">
      <text>
        <r>
          <rPr>
            <sz val="11"/>
            <color rgb="FF000000"/>
            <rFont val="Calibri"/>
            <family val="2"/>
            <scheme val="minor"/>
          </rPr>
          <t>======
ID#AAAAyHH1SjM
Étienne Guertin    (2023-05-29 02:22:42)
https://www.lesoleil.com/2018/09/04/plus-verte-et-moins-chere-lhydroelectricite-834b8a6346d4048dbb3d9db6e9284a7c
À décider si la limite sera plus basse, selon le scénario</t>
        </r>
      </text>
    </comment>
    <comment ref="C204" authorId="0" shapeId="0" xr:uid="{00000000-0006-0000-0300-000021000000}">
      <text>
        <r>
          <rPr>
            <sz val="11"/>
            <color rgb="FF000000"/>
            <rFont val="Calibri"/>
            <family val="2"/>
            <scheme val="minor"/>
          </rPr>
          <t>======
ID#AAAAx9f-PsE
Étienne Guertin    (2023-05-29 02:22:41)
https://www.hydroquebec.com/data/developpement-durable/pdf/fiche-hydrolienne-2021.pdf</t>
        </r>
      </text>
    </comment>
    <comment ref="C205" authorId="0" shapeId="0" xr:uid="{00000000-0006-0000-0300-000012000000}">
      <text>
        <r>
          <rPr>
            <sz val="11"/>
            <color rgb="FF000000"/>
            <rFont val="Calibri"/>
            <family val="2"/>
            <scheme val="minor"/>
          </rPr>
          <t>======
ID#AAAAyHH1Sow
Étienne Guertin    (2023-05-29 02:22:42)
https://aqper.com/fr/quel-est-le-potentiel-eolien-du-quebec</t>
        </r>
      </text>
    </comment>
    <comment ref="A230" authorId="0" shapeId="0" xr:uid="{00000000-0006-0000-0300-000001000000}">
      <text>
        <r>
          <rPr>
            <sz val="11"/>
            <color rgb="FF000000"/>
            <rFont val="Calibri"/>
            <family val="2"/>
            <scheme val="minor"/>
          </rPr>
          <t>======
ID#AAABZnhg-mM
Étienne Guertin    (2024-12-04 19:21:58)
is this important? what does it mean vs the other 'Efficiencies' table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MyJsijH3/8mbaX0eiiFvUYOtm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400-000012000000}">
      <text>
        <r>
          <rPr>
            <sz val="11"/>
            <color rgb="FF000000"/>
            <rFont val="Calibri"/>
            <family val="2"/>
            <scheme val="minor"/>
          </rPr>
          <t>======
ID#AAAAyHH1Sk4
EM    (2023-05-29 02:22:42)
IdB: Maggio12. URR (paper) y max extraction (own elaboration from paper)</t>
        </r>
      </text>
    </comment>
    <comment ref="A8" authorId="0" shapeId="0" xr:uid="{00000000-0006-0000-0400-000011000000}">
      <text>
        <r>
          <rPr>
            <sz val="11"/>
            <color rgb="FF000000"/>
            <rFont val="Calibri"/>
            <family val="2"/>
            <scheme val="minor"/>
          </rPr>
          <t>======
ID#AAAAyHH1Slo
EM    (2023-05-29 02:22:42)
IdB: Maggio12 URR (paper) y max extraction (own elaboration from paper)</t>
        </r>
      </text>
    </comment>
    <comment ref="A10" authorId="0" shapeId="0" xr:uid="{00000000-0006-0000-0400-000020000000}">
      <text>
        <r>
          <rPr>
            <sz val="11"/>
            <color rgb="FF000000"/>
            <rFont val="Calibri"/>
            <family val="2"/>
            <scheme val="minor"/>
          </rPr>
          <t>======
ID#AAAAx9f92kQ
EM    (2023-05-29 02:22:41)
IdB: Maggio12 URR (paper) y max extraction (own elaboration from paper)</t>
        </r>
      </text>
    </comment>
    <comment ref="A12" authorId="0" shapeId="0" xr:uid="{00000000-0006-0000-0400-000010000000}">
      <text>
        <r>
          <rPr>
            <sz val="11"/>
            <color rgb="FF000000"/>
            <rFont val="Calibri"/>
            <family val="2"/>
            <scheme val="minor"/>
          </rPr>
          <t>======
ID#AAAAyHH1SmI
EM    (2023-05-29 02:22:42)
IdB: Mohr et al, 15 URR (paper) y max extraction (own elaboration from paper)</t>
        </r>
      </text>
    </comment>
    <comment ref="A14" authorId="0" shapeId="0" xr:uid="{00000000-0006-0000-0400-00001B000000}">
      <text>
        <r>
          <rPr>
            <sz val="11"/>
            <color rgb="FF000000"/>
            <rFont val="Calibri"/>
            <family val="2"/>
            <scheme val="minor"/>
          </rPr>
          <t>======
ID#AAAAyHH1Sd4
EM    (2023-05-29 02:22:42)
IdB: Mohr et al, 15 URR (paper) y max extraction (own elaboration from paper)</t>
        </r>
      </text>
    </comment>
    <comment ref="A16" authorId="0" shapeId="0" xr:uid="{00000000-0006-0000-0400-000014000000}">
      <text>
        <r>
          <rPr>
            <sz val="11"/>
            <color rgb="FF000000"/>
            <rFont val="Calibri"/>
            <family val="2"/>
            <scheme val="minor"/>
          </rPr>
          <t>======
ID#AAAAyHH1Shg
EM    (2023-05-29 02:22:42)
IdB: Mohr et al 15 URR (paper) y max extraction (own elaboration from paper)</t>
        </r>
      </text>
    </comment>
    <comment ref="A18" authorId="0" shapeId="0" xr:uid="{00000000-0006-0000-0400-00000D000000}">
      <text>
        <r>
          <rPr>
            <sz val="11"/>
            <color rgb="FF000000"/>
            <rFont val="Calibri"/>
            <family val="2"/>
            <scheme val="minor"/>
          </rPr>
          <t>======
ID#AAAAyHH1SoQ
EM    (2023-05-29 02:22:42)
IdB: Laherrere 2006 URR (paper) y max extraction (own elaboration from paper)</t>
        </r>
      </text>
    </comment>
    <comment ref="A21" authorId="0" shapeId="0" xr:uid="{00000000-0006-0000-0400-000016000000}">
      <text>
        <r>
          <rPr>
            <sz val="11"/>
            <color rgb="FF000000"/>
            <rFont val="Calibri"/>
            <family val="2"/>
            <scheme val="minor"/>
          </rPr>
          <t>======
ID#AAAAyHH1SfM
EM    (2023-05-29 02:22:42)
IdB: Mohr et al., 2015 URR (paper) y max extraction (own elaboration from paper)</t>
        </r>
      </text>
    </comment>
    <comment ref="A23" authorId="0" shapeId="0" xr:uid="{00000000-0006-0000-0400-000013000000}">
      <text>
        <r>
          <rPr>
            <sz val="11"/>
            <color rgb="FF000000"/>
            <rFont val="Calibri"/>
            <family val="2"/>
            <scheme val="minor"/>
          </rPr>
          <t>======
ID#AAAAyHH1SiI
EM    (2023-05-29 02:22:42)
IdB: Mohr et al., 2015 URR (paper) y max extraction (own elaboration from paper)</t>
        </r>
      </text>
    </comment>
    <comment ref="A25" authorId="0" shapeId="0" xr:uid="{00000000-0006-0000-0400-000001000000}">
      <text>
        <r>
          <rPr>
            <sz val="11"/>
            <color rgb="FF000000"/>
            <rFont val="Calibri"/>
            <family val="2"/>
            <scheme val="minor"/>
          </rPr>
          <t>======
ID#AAAAyHH1Stw
EM    (2023-05-29 02:22:43)
IdB: Mohr et al., 2015 URR (paper) y max extraction (own elaboration from paper)</t>
        </r>
      </text>
    </comment>
    <comment ref="A27" authorId="0" shapeId="0" xr:uid="{00000000-0006-0000-0400-00000B000000}">
      <text>
        <r>
          <rPr>
            <sz val="11"/>
            <color rgb="FF000000"/>
            <rFont val="Calibri"/>
            <family val="2"/>
            <scheme val="minor"/>
          </rPr>
          <t>======
ID#AAAAyHH1SpQ
EM    (2023-05-29 02:22:42)
IdB: Mohr et al., 2015 URR (paper) y max extraction (own elaboration from paper)</t>
        </r>
      </text>
    </comment>
    <comment ref="A29" authorId="0" shapeId="0" xr:uid="{00000000-0006-0000-0400-00001A000000}">
      <text>
        <r>
          <rPr>
            <sz val="11"/>
            <color rgb="FF000000"/>
            <rFont val="Calibri"/>
            <family val="2"/>
            <scheme val="minor"/>
          </rPr>
          <t>======
ID#AAAAyHH1Sd8
EM    (2023-05-29 02:22:42)
IdB: Mohr et al., 2015 URR (paper) y max extraction (own elaboration from paper)</t>
        </r>
      </text>
    </comment>
    <comment ref="A31" authorId="0" shapeId="0" xr:uid="{00000000-0006-0000-0400-00000F000000}">
      <text>
        <r>
          <rPr>
            <sz val="11"/>
            <color rgb="FF000000"/>
            <rFont val="Calibri"/>
            <family val="2"/>
            <scheme val="minor"/>
          </rPr>
          <t>======
ID#AAAAyHH1Smc
EM    (2023-05-29 02:22:42)
IdB: Mohr et al., 2015 URR (paper) y max extraction (own elaboration from paper)</t>
        </r>
      </text>
    </comment>
    <comment ref="A33" authorId="0" shapeId="0" xr:uid="{00000000-0006-0000-0400-000017000000}">
      <text>
        <r>
          <rPr>
            <sz val="11"/>
            <color rgb="FF000000"/>
            <rFont val="Calibri"/>
            <family val="2"/>
            <scheme val="minor"/>
          </rPr>
          <t>======
ID#AAAAyHH1SfA
EM    (2023-05-29 02:22:42)
IdB: Laherrere 2010
URR (paper) y max extraction (own elaboration from paper)</t>
        </r>
      </text>
    </comment>
    <comment ref="B33" authorId="0" shapeId="0" xr:uid="{00000000-0006-0000-0400-00000A000000}">
      <text>
        <r>
          <rPr>
            <sz val="11"/>
            <color rgb="FF000000"/>
            <rFont val="Calibri"/>
            <family val="2"/>
            <scheme val="minor"/>
          </rPr>
          <t>======
ID#AAAAyHH1Spo
Iñigo    (2023-05-29 02:22:42)
no estimate in the original analysis, we consider a similar ratio than Mohr12 BG</t>
        </r>
      </text>
    </comment>
    <comment ref="A35" authorId="0" shapeId="0" xr:uid="{00000000-0006-0000-0400-000005000000}">
      <text>
        <r>
          <rPr>
            <sz val="11"/>
            <color rgb="FF000000"/>
            <rFont val="Calibri"/>
            <family val="2"/>
            <scheme val="minor"/>
          </rPr>
          <t>======
ID#AAAAyHH1Sso
EM    (2023-05-29 02:22:43)
IdB: Mohr 2012
URR (paper) y max extraction (own elaboration from paper)</t>
        </r>
      </text>
    </comment>
    <comment ref="A38" authorId="0" shapeId="0" xr:uid="{00000000-0006-0000-0400-000007000000}">
      <text>
        <r>
          <rPr>
            <sz val="11"/>
            <color rgb="FF000000"/>
            <rFont val="Calibri"/>
            <family val="2"/>
            <scheme val="minor"/>
          </rPr>
          <t>======
ID#AAAAyHH1Sqo
EM    (2023-05-29 02:22:42)
IdB: Mohr 2012
URR (paper) y max extraction (own elaboration from paper)</t>
        </r>
      </text>
    </comment>
    <comment ref="A40" authorId="0" shapeId="0" xr:uid="{00000000-0006-0000-0400-000019000000}">
      <text>
        <r>
          <rPr>
            <sz val="11"/>
            <color rgb="FF000000"/>
            <rFont val="Calibri"/>
            <family val="2"/>
            <scheme val="minor"/>
          </rPr>
          <t>======
ID#AAAAyHH1SeE
EM    (2023-05-29 02:22:42)
IdB: Mohr et al., 2015 URR (paper) y max extraction (own elaboration from paper)</t>
        </r>
      </text>
    </comment>
    <comment ref="A42" authorId="0" shapeId="0" xr:uid="{00000000-0006-0000-0400-000006000000}">
      <text>
        <r>
          <rPr>
            <sz val="11"/>
            <color rgb="FF000000"/>
            <rFont val="Calibri"/>
            <family val="2"/>
            <scheme val="minor"/>
          </rPr>
          <t>======
ID#AAAAyHH1SrA
EM    (2023-05-29 02:22:42)
IdB: Mohr et al., 2015</t>
        </r>
      </text>
    </comment>
    <comment ref="A44" authorId="0" shapeId="0" xr:uid="{00000000-0006-0000-0400-00001D000000}">
      <text>
        <r>
          <rPr>
            <sz val="11"/>
            <color rgb="FF000000"/>
            <rFont val="Calibri"/>
            <family val="2"/>
            <scheme val="minor"/>
          </rPr>
          <t>======
ID#AAAAx9f-qLE
EM    (2023-05-29 02:22:41)
IdB: Mohr et al., 2015 URR (paper) y max extraction (own elaboration from paper)</t>
        </r>
      </text>
    </comment>
    <comment ref="A47" authorId="0" shapeId="0" xr:uid="{00000000-0006-0000-0400-00001F000000}">
      <text>
        <r>
          <rPr>
            <sz val="11"/>
            <color rgb="FF000000"/>
            <rFont val="Calibri"/>
            <family val="2"/>
            <scheme val="minor"/>
          </rPr>
          <t>======
ID#AAAAx9f-PsI
EM    (2023-05-29 02:22:41)
IdB: Zittel12
URR (paper) y max extraction (own elaboration from paper)</t>
        </r>
      </text>
    </comment>
    <comment ref="A49" authorId="0" shapeId="0" xr:uid="{00000000-0006-0000-0400-000009000000}">
      <text>
        <r>
          <rPr>
            <sz val="11"/>
            <color rgb="FF000000"/>
            <rFont val="Calibri"/>
            <family val="2"/>
            <scheme val="minor"/>
          </rPr>
          <t>======
ID#AAAAyHH1Sp4
EM    (2023-05-29 02:22:42)
IdB: EWG 2013
URR (paper) y max extraction (own elaboration from paper)</t>
        </r>
      </text>
    </comment>
    <comment ref="A55" authorId="0" shapeId="0" xr:uid="{00000000-0006-0000-0400-00001C000000}">
      <text>
        <r>
          <rPr>
            <sz val="11"/>
            <color rgb="FF000000"/>
            <rFont val="Calibri"/>
            <family val="2"/>
            <scheme val="minor"/>
          </rPr>
          <t>======
ID#AAAAyHH1Scw
Iñigo    (2023-05-29 02:22:42)
own elaboration from Mohr et al 2015</t>
        </r>
      </text>
    </comment>
    <comment ref="A70" authorId="0" shapeId="0" xr:uid="{00000000-0006-0000-0400-000003000000}">
      <text>
        <r>
          <rPr>
            <sz val="11"/>
            <color rgb="FF000000"/>
            <rFont val="Calibri"/>
            <family val="2"/>
            <scheme val="minor"/>
          </rPr>
          <t>======
ID#AAAAyHH1Ssw
Iñigo    (2023-05-29 02:22:43)
own elaboration from Mohr et al 2015</t>
        </r>
      </text>
    </comment>
    <comment ref="A87" authorId="0" shapeId="0" xr:uid="{00000000-0006-0000-0400-000015000000}">
      <text>
        <r>
          <rPr>
            <sz val="11"/>
            <color rgb="FF000000"/>
            <rFont val="Calibri"/>
            <family val="2"/>
            <scheme val="minor"/>
          </rPr>
          <t>======
ID#AAAAyHH1SgM
Iñigo    (2023-05-29 02:22:42)
own elaboration from Mohr et al 2015</t>
        </r>
      </text>
    </comment>
    <comment ref="A97" authorId="0" shapeId="0" xr:uid="{00000000-0006-0000-0400-00000E000000}">
      <text>
        <r>
          <rPr>
            <sz val="11"/>
            <color rgb="FF000000"/>
            <rFont val="Calibri"/>
            <family val="2"/>
            <scheme val="minor"/>
          </rPr>
          <t>======
ID#AAAAyHH1SoA
EM    (2023-05-29 02:22:42)
IdB: Zittel12
URR (paper) y max extraction (own elaboration from paper)</t>
        </r>
      </text>
    </comment>
    <comment ref="A99" authorId="0" shapeId="0" xr:uid="{00000000-0006-0000-0400-000002000000}">
      <text>
        <r>
          <rPr>
            <sz val="11"/>
            <color rgb="FF000000"/>
            <rFont val="Calibri"/>
            <family val="2"/>
            <scheme val="minor"/>
          </rPr>
          <t>======
ID#AAAAyHH1Sss
EM    (2023-05-29 02:22:43)
IdB: EWG 2013
URR (paper) y max extraction (own elaboration from paper)</t>
        </r>
      </text>
    </comment>
    <comment ref="A106" authorId="0" shapeId="0" xr:uid="{00000000-0006-0000-0400-000018000000}">
      <text>
        <r>
          <rPr>
            <sz val="11"/>
            <color rgb="FF000000"/>
            <rFont val="Calibri"/>
            <family val="2"/>
            <scheme val="minor"/>
          </rPr>
          <t>======
ID#AAAAyHH1SeM
Iñigo    (2023-05-29 02:22:42)
own elaboration from Mohr et al 2015</t>
        </r>
      </text>
    </comment>
    <comment ref="A121" authorId="0" shapeId="0" xr:uid="{00000000-0006-0000-0400-00001E000000}">
      <text>
        <r>
          <rPr>
            <sz val="11"/>
            <color rgb="FF000000"/>
            <rFont val="Calibri"/>
            <family val="2"/>
            <scheme val="minor"/>
          </rPr>
          <t>======
ID#AAAAx9f-Pso
Iñigo    (2023-05-29 02:22:41)
own elaboration from Mohr et al 2015</t>
        </r>
      </text>
    </comment>
    <comment ref="A138" authorId="0" shapeId="0" xr:uid="{00000000-0006-0000-0400-000008000000}">
      <text>
        <r>
          <rPr>
            <sz val="11"/>
            <color rgb="FF000000"/>
            <rFont val="Calibri"/>
            <family val="2"/>
            <scheme val="minor"/>
          </rPr>
          <t>======
ID#AAAAyHH1Sqs
Iñigo    (2023-05-29 02:22:42)
own elaboration from Mohr et al 2015</t>
        </r>
      </text>
    </comment>
    <comment ref="A148" authorId="0" shapeId="0" xr:uid="{00000000-0006-0000-0400-00000C000000}">
      <text>
        <r>
          <rPr>
            <sz val="11"/>
            <color rgb="FF000000"/>
            <rFont val="Calibri"/>
            <family val="2"/>
            <scheme val="minor"/>
          </rPr>
          <t>======
ID#AAAAyHH1SpI
EM    (2023-05-29 02:22:42)
IdB: Zittel12
URR (paper) y max extraction (own elaboration from paper)</t>
        </r>
      </text>
    </comment>
    <comment ref="A150" authorId="0" shapeId="0" xr:uid="{00000000-0006-0000-0400-000004000000}">
      <text>
        <r>
          <rPr>
            <sz val="11"/>
            <color rgb="FF000000"/>
            <rFont val="Calibri"/>
            <family val="2"/>
            <scheme val="minor"/>
          </rPr>
          <t>======
ID#AAAAyHH1Ssg
EM    (2023-05-29 02:22:43)
IdB: EWG 2013
URR (paper) y max extraction (own elaboration from paper)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bdG/kJsh8L28cdxIs8X6zE03Xw=="/>
    </ext>
  </extLst>
</comments>
</file>

<file path=xl/sharedStrings.xml><?xml version="1.0" encoding="utf-8"?>
<sst xmlns="http://schemas.openxmlformats.org/spreadsheetml/2006/main" count="2030" uniqueCount="404">
  <si>
    <t>Type</t>
  </si>
  <si>
    <t>Initial EROI</t>
  </si>
  <si>
    <t>Lifetime</t>
  </si>
  <si>
    <t xml:space="preserve">Power density </t>
  </si>
  <si>
    <t>Replacement rate</t>
  </si>
  <si>
    <t>Construction time</t>
  </si>
  <si>
    <t>Planning time</t>
  </si>
  <si>
    <t>Investment cost (1995T$/TW)</t>
  </si>
  <si>
    <t>Dmnl</t>
  </si>
  <si>
    <t>years</t>
  </si>
  <si>
    <t>Twe/Mha</t>
  </si>
  <si>
    <t>Hydro</t>
  </si>
  <si>
    <t>-</t>
  </si>
  <si>
    <t>Geothermal</t>
  </si>
  <si>
    <t>Solid bioenergy for electricity</t>
  </si>
  <si>
    <t>Oceanic</t>
  </si>
  <si>
    <t>Wind onshore</t>
  </si>
  <si>
    <t>Wind offshore</t>
  </si>
  <si>
    <t>Solar PV</t>
  </si>
  <si>
    <t>CSP</t>
  </si>
  <si>
    <t>Nuclear</t>
  </si>
  <si>
    <t>solar for heat</t>
  </si>
  <si>
    <t>geothermal for heat</t>
  </si>
  <si>
    <t>Solid bioenergy for heat</t>
  </si>
  <si>
    <t>CTL</t>
  </si>
  <si>
    <t>GTL</t>
  </si>
  <si>
    <t>EV batteries (minimum)</t>
  </si>
  <si>
    <t>BALANCING COST variable electric RES</t>
  </si>
  <si>
    <t>Share of variable RES</t>
  </si>
  <si>
    <t>Balancing cost (1995$/MWh)</t>
  </si>
  <si>
    <t>Efficiencies</t>
  </si>
  <si>
    <t>Efficiency conversion geot PE to Elec</t>
  </si>
  <si>
    <t>Pumped hydro storage (PHS)</t>
  </si>
  <si>
    <t>Efficiency conversion BioE plants to heat</t>
  </si>
  <si>
    <t>ESOI PHS full potential</t>
  </si>
  <si>
    <t>Efficiency conversion bioE to Elec</t>
  </si>
  <si>
    <t>Round-trip storage efficiency PHS</t>
  </si>
  <si>
    <t>CTL efficiency</t>
  </si>
  <si>
    <t>Batteries</t>
  </si>
  <si>
    <t>GTL efficiency</t>
  </si>
  <si>
    <t>Net stored energy EV battery over lifetime</t>
  </si>
  <si>
    <t>MJ</t>
  </si>
  <si>
    <t>Efficiency gas for oil refinery gains</t>
  </si>
  <si>
    <t>KWatt per battery EV</t>
  </si>
  <si>
    <t>kW/battery</t>
  </si>
  <si>
    <t>Efficiency geothermal for heat</t>
  </si>
  <si>
    <t>Round-trip storage efficiency EV batteries</t>
  </si>
  <si>
    <t>Efficiency improv gas for electricity</t>
  </si>
  <si>
    <t>Efficiency improvement 3gen</t>
  </si>
  <si>
    <t>Losses solar for heat</t>
  </si>
  <si>
    <t>Efficiency uranium for electricity</t>
  </si>
  <si>
    <t>Max efficiency gas power plant</t>
  </si>
  <si>
    <t>Energy losses</t>
  </si>
  <si>
    <t>Prop electrical distribution losses</t>
  </si>
  <si>
    <t>Bioenergy</t>
  </si>
  <si>
    <t>Sensitivity scarcity options</t>
  </si>
  <si>
    <t xml:space="preserve">Conv efficiency from NPP to biofuels </t>
  </si>
  <si>
    <t>High</t>
  </si>
  <si>
    <t>Land occupation ratio biofuels marg land</t>
  </si>
  <si>
    <t>Mha/EJ</t>
  </si>
  <si>
    <t>Medium</t>
  </si>
  <si>
    <t>Land productivity biofuels 2nd gen EJ MHa</t>
  </si>
  <si>
    <t>EJ/Mha</t>
  </si>
  <si>
    <t>Low</t>
  </si>
  <si>
    <t>Land productivity biofuels marg EJ MHa</t>
  </si>
  <si>
    <t>Others</t>
  </si>
  <si>
    <t>Grid reinforcement costs ref</t>
  </si>
  <si>
    <t>1995$/kW</t>
  </si>
  <si>
    <t>Oil refinery gains share</t>
  </si>
  <si>
    <t>Prop heat distribution losses</t>
  </si>
  <si>
    <t>Minimum Baseload</t>
  </si>
  <si>
    <t>Cp initial</t>
  </si>
  <si>
    <t>Biofuels in marginal lands: exogenous start production scenario (mimics biofuel 2nd generation 2000-2014)</t>
  </si>
  <si>
    <t>Annual growth start production biofuels marginal lands (ktoe/yr)</t>
  </si>
  <si>
    <t>Efficiency liquids for electricity</t>
  </si>
  <si>
    <t>Efficiency coal for electricity</t>
  </si>
  <si>
    <t>share trad biomass vs solids in households</t>
  </si>
  <si>
    <t>BioEnergy</t>
  </si>
  <si>
    <t>Efficiency solar panels for heat</t>
  </si>
  <si>
    <t>PEpc consumption trad biomass ref</t>
  </si>
  <si>
    <t>EJ</t>
  </si>
  <si>
    <t>BioE potential NPP marginal lands</t>
  </si>
  <si>
    <t>EJ/Year</t>
  </si>
  <si>
    <t>Cp PHS</t>
  </si>
  <si>
    <t>Heat demand</t>
  </si>
  <si>
    <t>CHP plants</t>
  </si>
  <si>
    <t>share FEH over FED oil</t>
  </si>
  <si>
    <t>Share of Heat output vs electricity in nuclear</t>
  </si>
  <si>
    <t>share FEH over FED nat. gas</t>
  </si>
  <si>
    <t>Adjustment</t>
  </si>
  <si>
    <t>share FEH over FED coal</t>
  </si>
  <si>
    <t>adjust energy for transport to inland transport</t>
  </si>
  <si>
    <t>share FEH over FED solid bioE</t>
  </si>
  <si>
    <t>Waste</t>
  </si>
  <si>
    <t>Biogas</t>
  </si>
  <si>
    <t>share PES waste for heat plants</t>
  </si>
  <si>
    <t>share PES biogas for heat plants</t>
  </si>
  <si>
    <t>share PES waste for elec plants</t>
  </si>
  <si>
    <t>share PES biogas for elec plants</t>
  </si>
  <si>
    <t>share PES waste for CHP plants</t>
  </si>
  <si>
    <t>share PES biogas for CHP plants</t>
  </si>
  <si>
    <t>share PES waste TFC</t>
  </si>
  <si>
    <t>share PES biogas TFC</t>
  </si>
  <si>
    <t>efficiency waste for heat plants</t>
  </si>
  <si>
    <t>efficiency biogas for heat plants</t>
  </si>
  <si>
    <t>efficiency waste for elec plants</t>
  </si>
  <si>
    <t>efficiency biogas for elec plants</t>
  </si>
  <si>
    <t>efficiency waste for heat in CHP plants</t>
  </si>
  <si>
    <t>efficiency biogas for heat in CHP plants</t>
  </si>
  <si>
    <t>efficiency waste for elec in CHP plants</t>
  </si>
  <si>
    <t>efficiency biogas for elec in CHP plants</t>
  </si>
  <si>
    <t>MAX EXTRACTION TABLE</t>
  </si>
  <si>
    <t>share of unconv vs. Total extraction in 2050 (Dmnl)</t>
  </si>
  <si>
    <t>URR (EJ)</t>
  </si>
  <si>
    <t>OIL</t>
  </si>
  <si>
    <t>table max extraction conv oil</t>
  </si>
  <si>
    <t>RURR</t>
  </si>
  <si>
    <t>max extraction</t>
  </si>
  <si>
    <t>table max extraction unconv oil</t>
  </si>
  <si>
    <t>table max extraction agg oil</t>
  </si>
  <si>
    <t>GAS</t>
  </si>
  <si>
    <t>table max extraction conv gas</t>
  </si>
  <si>
    <t>table max extraction unconv gas</t>
  </si>
  <si>
    <t>table max extraction agg gas</t>
  </si>
  <si>
    <t>COAL</t>
  </si>
  <si>
    <t>table max extraction coal</t>
  </si>
  <si>
    <t>URANIUM</t>
  </si>
  <si>
    <t>table max extraction uranium</t>
  </si>
  <si>
    <t>Past growth</t>
  </si>
  <si>
    <t>Cumulated extraction 1990</t>
  </si>
  <si>
    <t>Biofuels past growth</t>
  </si>
  <si>
    <t>1/year</t>
  </si>
  <si>
    <t>cumulated conv oil extraction to 1995</t>
  </si>
  <si>
    <t>Hist growth CTL</t>
  </si>
  <si>
    <t>1/Year</t>
  </si>
  <si>
    <t>cumulated unconv oil extraction to 1995</t>
  </si>
  <si>
    <t>Hist growth GTL</t>
  </si>
  <si>
    <t>cumulated conv gas extraction to 1995</t>
  </si>
  <si>
    <t>PHS past capacity growth</t>
  </si>
  <si>
    <t>cumulated unconv gas extraction to 1995</t>
  </si>
  <si>
    <t>Hydro past capacity growth</t>
  </si>
  <si>
    <t>cumulated coal extraction to 1995</t>
  </si>
  <si>
    <t>Geothermal past capacity growth</t>
  </si>
  <si>
    <t>cumulated uranium extraction to 1995</t>
  </si>
  <si>
    <t>Solid bioE-elec</t>
  </si>
  <si>
    <t>Oceanic past capacity growth</t>
  </si>
  <si>
    <t>Wind onshore past capacity growth</t>
  </si>
  <si>
    <t>Wind offshore past capacity growth</t>
  </si>
  <si>
    <t>Solar PV past capacity growth</t>
  </si>
  <si>
    <t>CSP past capacity growth</t>
  </si>
  <si>
    <t>past solar growth for heat-com</t>
  </si>
  <si>
    <t>past geothermal growth for heat-com</t>
  </si>
  <si>
    <t>past solid bioE-heat-com</t>
  </si>
  <si>
    <t>past solar growth for heat-nc</t>
  </si>
  <si>
    <t>past geothermal growth for heat-nc</t>
  </si>
  <si>
    <t>past solid bioE-heat-nc</t>
  </si>
  <si>
    <t>Europe and country have data until 2015</t>
  </si>
  <si>
    <t>Efficiency Heat plants gas</t>
  </si>
  <si>
    <t>Efficiency elec CHP plants gas</t>
  </si>
  <si>
    <t>Efficiency heat CHP plants gas</t>
  </si>
  <si>
    <t>Efficiency Heat plants coal</t>
  </si>
  <si>
    <t>Efficiency elec CHP plants coal</t>
  </si>
  <si>
    <t>Efficiency heat CHP plants coal</t>
  </si>
  <si>
    <t>Efficiency Heat plants oil</t>
  </si>
  <si>
    <t xml:space="preserve">Efficiency elec CHP plants oil </t>
  </si>
  <si>
    <t>Efficiency heat CHP plants oil</t>
  </si>
  <si>
    <t>Efficiency gas for electricity</t>
  </si>
  <si>
    <t>%</t>
  </si>
  <si>
    <t>Losses in Charcoal plants EJ</t>
  </si>
  <si>
    <t>Peat EJ</t>
  </si>
  <si>
    <t>Biogases EJ</t>
  </si>
  <si>
    <t>Average</t>
  </si>
  <si>
    <t>This is not calculated from the data on the left</t>
  </si>
  <si>
    <t>If they had done it as in Austria, the value would be this one</t>
  </si>
  <si>
    <t>end historical data</t>
  </si>
  <si>
    <t>Year</t>
  </si>
  <si>
    <t>HISTORIC VALUES</t>
  </si>
  <si>
    <t>pct CHP plants vs total heat output</t>
  </si>
  <si>
    <t>Pct gas in fossil CHP plants</t>
  </si>
  <si>
    <t>Pct liquids in fossil CHP plants</t>
  </si>
  <si>
    <t>resource extraction</t>
  </si>
  <si>
    <t>Historical unconv oil</t>
  </si>
  <si>
    <t>Historical unconv gas</t>
  </si>
  <si>
    <t>Historic CTL</t>
  </si>
  <si>
    <t>Historic GTL</t>
  </si>
  <si>
    <t>share resources</t>
  </si>
  <si>
    <t>Hist share oil Elec</t>
  </si>
  <si>
    <t>Hist share gas vs (coal+gas) Elec</t>
  </si>
  <si>
    <t>Hist share gas vs (coal+gas) heat</t>
  </si>
  <si>
    <t>Hist share liquids in Heat plants</t>
  </si>
  <si>
    <t>Annual generation liquids RES</t>
  </si>
  <si>
    <t>Biofuels</t>
  </si>
  <si>
    <t>ktoe/Year</t>
  </si>
  <si>
    <t>Capacity installed RES for non-commercial heat</t>
  </si>
  <si>
    <t>Historic solar for heat</t>
  </si>
  <si>
    <t>TWth</t>
  </si>
  <si>
    <t>Historic geothermal for heat</t>
  </si>
  <si>
    <t>Historic solid bioE-heat</t>
  </si>
  <si>
    <t>Capacity installed RES for commercial heat</t>
  </si>
  <si>
    <t>Other</t>
  </si>
  <si>
    <t>historic nuclear generation TWh</t>
  </si>
  <si>
    <t>TWh</t>
  </si>
  <si>
    <t>Installed capacities</t>
  </si>
  <si>
    <t>Hydroelectricity (withouth PHS)</t>
  </si>
  <si>
    <t>TW</t>
  </si>
  <si>
    <t>solid bioenergy for electricity</t>
  </si>
  <si>
    <t>Offshore wind</t>
  </si>
  <si>
    <t>Solar CSP</t>
  </si>
  <si>
    <t>PHS</t>
  </si>
  <si>
    <t>Non-energetic uses</t>
  </si>
  <si>
    <t>ELECTRICITY</t>
  </si>
  <si>
    <t>extrapolated, to avoid floating point overflow in vensim</t>
  </si>
  <si>
    <t>HEAT</t>
  </si>
  <si>
    <t>LIQUIDS</t>
  </si>
  <si>
    <t>GASES</t>
  </si>
  <si>
    <t>SOLIDS</t>
  </si>
  <si>
    <t>Share Losses over total extraction</t>
  </si>
  <si>
    <t>COAL pct losses</t>
  </si>
  <si>
    <t>OIL pct losses</t>
  </si>
  <si>
    <t>NAT GAS pct losses</t>
  </si>
  <si>
    <t>Transfer losses</t>
  </si>
  <si>
    <t>pc losses transformation vs extraction oil</t>
  </si>
  <si>
    <t>pc losses transformation vs extraction coal</t>
  </si>
  <si>
    <t>Ratio gain gas vs lose solids in tranf processes</t>
  </si>
  <si>
    <t>PES from Waste</t>
  </si>
  <si>
    <t>Past growth PES waste</t>
  </si>
  <si>
    <t>Energy industry own-use</t>
  </si>
  <si>
    <t>Maximun yearly acceleration of intensity improvement</t>
  </si>
  <si>
    <t>Households</t>
  </si>
  <si>
    <t>Sector1</t>
  </si>
  <si>
    <t>Sector2</t>
  </si>
  <si>
    <t>Sector3</t>
  </si>
  <si>
    <t>Sector4</t>
  </si>
  <si>
    <t>Sector5</t>
  </si>
  <si>
    <t>Sector6</t>
  </si>
  <si>
    <t>Sector7</t>
  </si>
  <si>
    <t>Sector8</t>
  </si>
  <si>
    <t>Sector9</t>
  </si>
  <si>
    <t>Sector10</t>
  </si>
  <si>
    <t>Sector11</t>
  </si>
  <si>
    <t>Sector12</t>
  </si>
  <si>
    <t>Sector13</t>
  </si>
  <si>
    <t>Sector14</t>
  </si>
  <si>
    <t>Sector15</t>
  </si>
  <si>
    <t>Sector16</t>
  </si>
  <si>
    <t>Electricity</t>
  </si>
  <si>
    <t>Heat</t>
  </si>
  <si>
    <t>Liquids</t>
  </si>
  <si>
    <t>Gases</t>
  </si>
  <si>
    <t>Solids</t>
  </si>
  <si>
    <t>minimum fraction source</t>
  </si>
  <si>
    <t>max yearly change between sources</t>
  </si>
  <si>
    <t>Techno-ecological potential electric RES</t>
  </si>
  <si>
    <t xml:space="preserve">max hydro </t>
  </si>
  <si>
    <t>TWe</t>
  </si>
  <si>
    <t>max PE geot-elec</t>
  </si>
  <si>
    <t>max potential PHS</t>
  </si>
  <si>
    <t xml:space="preserve">max oceanic </t>
  </si>
  <si>
    <t xml:space="preserve">max onshore wind </t>
  </si>
  <si>
    <t xml:space="preserve">max offshore wind </t>
  </si>
  <si>
    <t>Max biogases</t>
  </si>
  <si>
    <t>Max potential NPP bioE conventional for heat+elec</t>
  </si>
  <si>
    <t>Max NPP potential BioE residues</t>
  </si>
  <si>
    <t>max waste</t>
  </si>
  <si>
    <t>Techno-ecological potential RES for heat</t>
  </si>
  <si>
    <t>FE solar thermal potential</t>
  </si>
  <si>
    <t>Geot PE potential for heat TW</t>
  </si>
  <si>
    <t>Maximum land ocupations</t>
  </si>
  <si>
    <t>max solar on land (PV and CSP)</t>
  </si>
  <si>
    <t>Mha</t>
  </si>
  <si>
    <t>Additional land compet available for biofuels</t>
  </si>
  <si>
    <t>Efficiency rate of substitution (Dmnl)</t>
  </si>
  <si>
    <t>Construction</t>
  </si>
  <si>
    <t>Electricity by</t>
  </si>
  <si>
    <t>electricity</t>
  </si>
  <si>
    <t>efficiency_rate_of_substitution_electricity</t>
  </si>
  <si>
    <t>Heat by</t>
  </si>
  <si>
    <t>Liquids by</t>
  </si>
  <si>
    <t>Gases by</t>
  </si>
  <si>
    <t>Solids by</t>
  </si>
  <si>
    <t>heat</t>
  </si>
  <si>
    <t xml:space="preserve">Electricity by </t>
  </si>
  <si>
    <t>liquids</t>
  </si>
  <si>
    <t>gases</t>
  </si>
  <si>
    <t>solids</t>
  </si>
  <si>
    <t>Annual shift from 2gen to 3gen biofuels land compet</t>
  </si>
  <si>
    <t>in the world module this parameter is placed in the scenario</t>
  </si>
  <si>
    <t xml:space="preserve">Solar </t>
  </si>
  <si>
    <t>Performance ratio over park's lifetime (f2)</t>
  </si>
  <si>
    <t>Land occupation ratio (f3)</t>
  </si>
  <si>
    <t>Cell efficiency conversion of solar PV.</t>
  </si>
  <si>
    <t>These 3 are not present in the world model?</t>
  </si>
  <si>
    <r>
      <rPr>
        <sz val="11"/>
        <color rgb="FF000000"/>
        <rFont val="Calibri"/>
        <family val="2"/>
      </rPr>
      <t>historic share installed PV urban vs tot PV</t>
    </r>
    <r>
      <rPr>
        <sz val="11"/>
        <color rgb="FFFF0000"/>
        <rFont val="Calibri"/>
        <family val="2"/>
      </rPr>
      <t xml:space="preserve"> (only EU and country. Same values)</t>
    </r>
  </si>
  <si>
    <t>Pipeline transport</t>
  </si>
  <si>
    <t>same as world</t>
  </si>
  <si>
    <t>Historic domestic EU extraction from NRE</t>
  </si>
  <si>
    <t>Conventional oil domestic extracted EU</t>
  </si>
  <si>
    <t>Unconventional oil domestic extracted EU</t>
  </si>
  <si>
    <t>Conventional gas domestic extracted EU</t>
  </si>
  <si>
    <t>Unconventional gas domestic extracted EU</t>
  </si>
  <si>
    <t>Coal domestic extracted EU</t>
  </si>
  <si>
    <t>Uranium domestic extracted EU</t>
  </si>
  <si>
    <t>tonnes</t>
  </si>
  <si>
    <t>Geot PE potential for heat TWth</t>
  </si>
  <si>
    <t>Max PE biogas</t>
  </si>
  <si>
    <t>max PE waste</t>
  </si>
  <si>
    <t>QC data verified</t>
  </si>
  <si>
    <t>Cp hist</t>
  </si>
  <si>
    <t>Data is 0 verified</t>
  </si>
  <si>
    <t>Same as original data is ok for now I think</t>
  </si>
  <si>
    <t>Need to find this data it's important</t>
  </si>
  <si>
    <t>Data isn't important for now I think, À CHECKER APRÈS TEST RUN</t>
  </si>
  <si>
    <t>approximated, find better if time allows</t>
  </si>
  <si>
    <t>ORIGINAL DATA IS IN energy5.xlsx</t>
  </si>
  <si>
    <r>
      <rPr>
        <sz val="11"/>
        <color rgb="FF000000"/>
        <rFont val="Calibri"/>
        <family val="2"/>
      </rPr>
      <t>historic share installed PV urban vs tot PV</t>
    </r>
    <r>
      <rPr>
        <sz val="11"/>
        <color rgb="FFFF0000"/>
        <rFont val="Calibri"/>
        <family val="2"/>
      </rPr>
      <t xml:space="preserve"> (only EU and country. Same values)</t>
    </r>
  </si>
  <si>
    <t xml:space="preserve">Techno-ecological potential BioEnergy </t>
  </si>
  <si>
    <t>Potential marginal land available for biofuels</t>
  </si>
  <si>
    <t>SOLAR</t>
  </si>
  <si>
    <t>Solar PV efficiency</t>
  </si>
  <si>
    <t>Cell efficiency solar PV in target year</t>
  </si>
  <si>
    <t>cell_efficiency_target_year</t>
  </si>
  <si>
    <t>Start year cell efficiency solar PV</t>
  </si>
  <si>
    <t>start_year_cell_efficency_PV</t>
  </si>
  <si>
    <t>Target year cell efficiency solar PV</t>
  </si>
  <si>
    <t>targ_year_cell_efficiency_PV</t>
  </si>
  <si>
    <t>0.5</t>
  </si>
  <si>
    <t>Imports (EJ)</t>
  </si>
  <si>
    <t>time_historic_imports</t>
  </si>
  <si>
    <t>Oil</t>
  </si>
  <si>
    <t>oil_historic_imports</t>
  </si>
  <si>
    <t>Natural gas (Fossil gas)</t>
  </si>
  <si>
    <t>gas_historic_imports</t>
  </si>
  <si>
    <t>Coal</t>
  </si>
  <si>
    <t>coal_historic_imports</t>
  </si>
  <si>
    <t>WORLD</t>
  </si>
  <si>
    <t>Maggio12 low conv oil</t>
  </si>
  <si>
    <t>Maggio12 middle conv oil</t>
  </si>
  <si>
    <t>Maggio12 high conv oil</t>
  </si>
  <si>
    <t>BG mohr15 unconv oil</t>
  </si>
  <si>
    <t>High mohr15 unconv oil</t>
  </si>
  <si>
    <t>Low mohr15 unconv oil</t>
  </si>
  <si>
    <t>Laherrère 2006 total oil</t>
  </si>
  <si>
    <t xml:space="preserve">Low Mohr2015 conv gas </t>
  </si>
  <si>
    <t xml:space="preserve">High Mohr2015 conv gas </t>
  </si>
  <si>
    <t>BG Mohr2015 conv gas</t>
  </si>
  <si>
    <t>BG Mohr15 unconv gas</t>
  </si>
  <si>
    <t>High Mohr15 unconv gas</t>
  </si>
  <si>
    <t>Low Mohr15 unconv gas</t>
  </si>
  <si>
    <t>Laherrère10 total gas</t>
  </si>
  <si>
    <t>Mohr12 BG total gas</t>
  </si>
  <si>
    <t>mohr12 coal</t>
  </si>
  <si>
    <t>Low Mohr2015 coal</t>
  </si>
  <si>
    <t>BG Mohr2015 coal</t>
  </si>
  <si>
    <t>High Mohr2015 coal</t>
  </si>
  <si>
    <t>Zittel12 uranium</t>
  </si>
  <si>
    <t xml:space="preserve">EWG13 Uranium </t>
  </si>
  <si>
    <t>EUROPE</t>
  </si>
  <si>
    <t>Low-EU mohr15 conv oil</t>
  </si>
  <si>
    <t>BG-EU mohr15 conv oil</t>
  </si>
  <si>
    <t>High-EU mohr15 conv oil</t>
  </si>
  <si>
    <t>Low-EU mohr15 unconv oil</t>
  </si>
  <si>
    <t>BG-EU mohr15 unconv oil</t>
  </si>
  <si>
    <t>High-EU mohr15 unconv oil</t>
  </si>
  <si>
    <t xml:space="preserve">Low-EU Mohr2015 conv gas </t>
  </si>
  <si>
    <t xml:space="preserve">BG-EU Mohr2015 conv gas </t>
  </si>
  <si>
    <t>High-EU Mohr2015 conv gas</t>
  </si>
  <si>
    <t>Low-EU Mohr15 unconv gas</t>
  </si>
  <si>
    <t>BG-EU Mohr15 unconv gas</t>
  </si>
  <si>
    <t>High-EU Mohr15 unconv gas</t>
  </si>
  <si>
    <t>Low-EU Mohr2015 coal</t>
  </si>
  <si>
    <t>BG-EU Mohr2015 coal</t>
  </si>
  <si>
    <t>High-EU Mohr2015 coal</t>
  </si>
  <si>
    <t>AUSTRIA</t>
  </si>
  <si>
    <t>Low-AUT mohr15 conv oil</t>
  </si>
  <si>
    <t>BG-AUT mohr15 conv oil</t>
  </si>
  <si>
    <t>High-AUTmohr15 conv oil</t>
  </si>
  <si>
    <t>Low-AUT mohr15 unconv oil</t>
  </si>
  <si>
    <t>BG-AUT mohr15 unconv oil</t>
  </si>
  <si>
    <t>High-AUT mohr15 unconv oil</t>
  </si>
  <si>
    <t xml:space="preserve">Low-AUT Mohr2015 conv gas </t>
  </si>
  <si>
    <t xml:space="preserve">BG-AUT Mohr2015 conv gas </t>
  </si>
  <si>
    <t>High-AUT Mohr2015 conv gas</t>
  </si>
  <si>
    <t>Low-AUT Mohr15 unconv gas</t>
  </si>
  <si>
    <t>BG-AUT Mohr15 unconv gas</t>
  </si>
  <si>
    <t>High-AUT Mohr15 unconv gas</t>
  </si>
  <si>
    <t>Low-AUT Mohr2015 coal</t>
  </si>
  <si>
    <t>BG-AUT Mohr2015 coal</t>
  </si>
  <si>
    <t>High-AUT Mohr2015 coal</t>
  </si>
  <si>
    <t>Agriculture_Forestry</t>
  </si>
  <si>
    <t>Manufacturing</t>
  </si>
  <si>
    <t>Mining</t>
  </si>
  <si>
    <t>Utilities</t>
  </si>
  <si>
    <t>Motor_Vehicles</t>
  </si>
  <si>
    <t>Wholesale_Trade</t>
  </si>
  <si>
    <t>Retail_Trade</t>
  </si>
  <si>
    <t>Hotels_and_Restaurants</t>
  </si>
  <si>
    <t>Transport</t>
  </si>
  <si>
    <t>Post_and_Telecomm</t>
  </si>
  <si>
    <t>Offices</t>
  </si>
  <si>
    <t>Education</t>
  </si>
  <si>
    <t>Health_and_Social_work</t>
  </si>
  <si>
    <t>Other_Community_Social_and_Personal_Services</t>
  </si>
  <si>
    <t>Private_Households</t>
  </si>
  <si>
    <t>additional_land_available_biofuels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</si>
</sst>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000"/>
    <numFmt numFmtId="166" formatCode="#,##0.000"/>
    <numFmt numFmtId="167" formatCode="0.0%"/>
    <numFmt numFmtId="168" formatCode="0.0"/>
    <numFmt numFmtId="169" formatCode="0.00000"/>
    <numFmt numFmtId="170" formatCode="#,##0.000000"/>
    <numFmt numFmtId="171" formatCode="0.0000000"/>
    <numFmt numFmtId="172" formatCode="0.0000"/>
  </numFmts>
  <fonts count="23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9C0006"/>
      <name val="Calibri"/>
      <family val="2"/>
    </font>
    <font>
      <sz val="10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C9211E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6AAB73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E2F0D9"/>
        <bgColor rgb="FFE2F0D9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66FF33"/>
        <bgColor rgb="FF66FF33"/>
      </patternFill>
    </fill>
    <fill>
      <patternFill patternType="solid">
        <fgColor rgb="FFE46C0A"/>
        <bgColor rgb="FFE46C0A"/>
      </patternFill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FBE4D5"/>
        <bgColor rgb="FFFBE4D5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C9211E"/>
        <bgColor rgb="FFC9211E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DBEEF4"/>
        <bgColor rgb="FFDBEEF4"/>
      </patternFill>
    </fill>
    <fill>
      <patternFill patternType="solid">
        <fgColor rgb="FFFF9797"/>
        <bgColor rgb="FFFF9797"/>
      </patternFill>
    </fill>
    <fill>
      <patternFill patternType="solid">
        <fgColor rgb="FFD7E4BD"/>
        <bgColor rgb="FFD7E4BD"/>
      </patternFill>
    </fill>
    <fill>
      <patternFill patternType="solid">
        <fgColor rgb="FF93CDDD"/>
        <bgColor rgb="FF93CDDD"/>
      </patternFill>
    </fill>
    <fill>
      <patternFill patternType="solid">
        <fgColor rgb="FFD0CECE"/>
        <bgColor rgb="FFD0CECE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0072C6"/>
        <bgColor rgb="FF0072C6"/>
      </patternFill>
    </fill>
    <fill>
      <patternFill patternType="solid">
        <fgColor rgb="FFC0000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3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1" xfId="0" applyNumberFormat="1" applyFont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1" fillId="2" borderId="5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6" xfId="0" applyFont="1" applyFill="1" applyBorder="1"/>
    <xf numFmtId="0" fontId="3" fillId="0" borderId="7" xfId="0" applyFont="1" applyBorder="1" applyAlignment="1">
      <alignment horizontal="center"/>
    </xf>
    <xf numFmtId="165" fontId="1" fillId="0" borderId="1" xfId="0" applyNumberFormat="1" applyFont="1" applyBorder="1"/>
    <xf numFmtId="165" fontId="1" fillId="0" borderId="0" xfId="0" applyNumberFormat="1" applyFont="1"/>
    <xf numFmtId="0" fontId="5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5" fillId="3" borderId="6" xfId="0" applyFont="1" applyFill="1" applyBorder="1" applyAlignment="1">
      <alignment horizontal="left" vertical="center"/>
    </xf>
    <xf numFmtId="0" fontId="1" fillId="4" borderId="8" xfId="0" applyFont="1" applyFill="1" applyBorder="1"/>
    <xf numFmtId="1" fontId="1" fillId="0" borderId="1" xfId="0" applyNumberFormat="1" applyFont="1" applyBorder="1"/>
    <xf numFmtId="0" fontId="1" fillId="2" borderId="9" xfId="0" applyFont="1" applyFill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6" fillId="0" borderId="0" xfId="0" applyFont="1"/>
    <xf numFmtId="1" fontId="3" fillId="0" borderId="0" xfId="0" applyNumberFormat="1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2" xfId="0" applyFont="1" applyBorder="1"/>
    <xf numFmtId="0" fontId="3" fillId="0" borderId="3" xfId="0" applyFont="1" applyBorder="1" applyAlignment="1">
      <alignment horizontal="center"/>
    </xf>
    <xf numFmtId="0" fontId="1" fillId="2" borderId="12" xfId="0" applyFont="1" applyFill="1" applyBorder="1"/>
    <xf numFmtId="2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3" xfId="0" applyFont="1" applyBorder="1"/>
    <xf numFmtId="0" fontId="1" fillId="2" borderId="15" xfId="0" applyFont="1" applyFill="1" applyBorder="1"/>
    <xf numFmtId="0" fontId="3" fillId="0" borderId="1" xfId="0" applyFont="1" applyBorder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7" fillId="0" borderId="0" xfId="0" applyFont="1"/>
    <xf numFmtId="0" fontId="5" fillId="0" borderId="0" xfId="0" applyFont="1"/>
    <xf numFmtId="164" fontId="1" fillId="0" borderId="1" xfId="0" applyNumberFormat="1" applyFont="1" applyBorder="1"/>
    <xf numFmtId="9" fontId="1" fillId="0" borderId="0" xfId="0" applyNumberFormat="1" applyFont="1"/>
    <xf numFmtId="0" fontId="1" fillId="5" borderId="19" xfId="0" applyFont="1" applyFill="1" applyBorder="1" applyAlignment="1">
      <alignment horizontal="left"/>
    </xf>
    <xf numFmtId="0" fontId="1" fillId="5" borderId="20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/>
    </xf>
    <xf numFmtId="0" fontId="1" fillId="2" borderId="23" xfId="0" applyFont="1" applyFill="1" applyBorder="1"/>
    <xf numFmtId="0" fontId="1" fillId="2" borderId="24" xfId="0" applyFont="1" applyFill="1" applyBorder="1"/>
    <xf numFmtId="0" fontId="5" fillId="3" borderId="23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8" xfId="0" applyFont="1" applyFill="1" applyBorder="1"/>
    <xf numFmtId="0" fontId="1" fillId="2" borderId="1" xfId="0" applyFont="1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66" fontId="1" fillId="0" borderId="30" xfId="0" applyNumberFormat="1" applyFont="1" applyBorder="1" applyAlignment="1">
      <alignment horizontal="center"/>
    </xf>
    <xf numFmtId="166" fontId="1" fillId="0" borderId="31" xfId="0" applyNumberFormat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3" xfId="0" applyFont="1" applyBorder="1"/>
    <xf numFmtId="0" fontId="1" fillId="0" borderId="10" xfId="0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30" xfId="0" applyFont="1" applyBorder="1"/>
    <xf numFmtId="167" fontId="1" fillId="0" borderId="7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67" fontId="3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4" fontId="7" fillId="0" borderId="0" xfId="0" applyNumberFormat="1" applyFont="1"/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/>
    </xf>
    <xf numFmtId="2" fontId="1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39" xfId="0" applyFont="1" applyBorder="1" applyAlignment="1">
      <alignment horizontal="right"/>
    </xf>
    <xf numFmtId="2" fontId="3" fillId="0" borderId="0" xfId="0" applyNumberFormat="1" applyFont="1"/>
    <xf numFmtId="0" fontId="1" fillId="0" borderId="2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" fillId="2" borderId="8" xfId="0" applyFont="1" applyFill="1" applyBorder="1" applyAlignment="1">
      <alignment horizontal="left"/>
    </xf>
    <xf numFmtId="0" fontId="9" fillId="0" borderId="0" xfId="0" applyFont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5" fillId="3" borderId="24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0" fontId="1" fillId="2" borderId="6" xfId="0" applyFont="1" applyFill="1" applyBorder="1" applyAlignment="1">
      <alignment horizontal="left"/>
    </xf>
    <xf numFmtId="0" fontId="5" fillId="3" borderId="4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/>
    <xf numFmtId="2" fontId="1" fillId="0" borderId="1" xfId="0" applyNumberFormat="1" applyFont="1" applyBorder="1" applyAlignment="1">
      <alignment horizontal="right"/>
    </xf>
    <xf numFmtId="2" fontId="7" fillId="0" borderId="1" xfId="0" applyNumberFormat="1" applyFont="1" applyBorder="1" applyAlignment="1">
      <alignment horizontal="right"/>
    </xf>
    <xf numFmtId="2" fontId="7" fillId="0" borderId="1" xfId="0" applyNumberFormat="1" applyFont="1" applyBorder="1"/>
    <xf numFmtId="165" fontId="1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/>
    <xf numFmtId="0" fontId="3" fillId="2" borderId="6" xfId="0" applyFont="1" applyFill="1" applyBorder="1" applyAlignment="1">
      <alignment horizontal="left" vertical="center"/>
    </xf>
    <xf numFmtId="0" fontId="10" fillId="5" borderId="1" xfId="0" applyFont="1" applyFill="1" applyBorder="1"/>
    <xf numFmtId="0" fontId="11" fillId="6" borderId="1" xfId="0" applyFont="1" applyFill="1" applyBorder="1"/>
    <xf numFmtId="0" fontId="1" fillId="7" borderId="40" xfId="0" applyFont="1" applyFill="1" applyBorder="1"/>
    <xf numFmtId="0" fontId="12" fillId="8" borderId="1" xfId="0" applyFont="1" applyFill="1" applyBorder="1"/>
    <xf numFmtId="0" fontId="1" fillId="8" borderId="1" xfId="0" applyFont="1" applyFill="1" applyBorder="1"/>
    <xf numFmtId="0" fontId="5" fillId="5" borderId="1" xfId="0" applyFont="1" applyFill="1" applyBorder="1"/>
    <xf numFmtId="0" fontId="5" fillId="9" borderId="5" xfId="0" applyFont="1" applyFill="1" applyBorder="1"/>
    <xf numFmtId="0" fontId="1" fillId="9" borderId="41" xfId="0" applyFont="1" applyFill="1" applyBorder="1"/>
    <xf numFmtId="0" fontId="3" fillId="10" borderId="1" xfId="0" applyFont="1" applyFill="1" applyBorder="1"/>
    <xf numFmtId="0" fontId="3" fillId="5" borderId="1" xfId="0" applyFont="1" applyFill="1" applyBorder="1"/>
    <xf numFmtId="0" fontId="1" fillId="9" borderId="42" xfId="0" applyFont="1" applyFill="1" applyBorder="1"/>
    <xf numFmtId="0" fontId="3" fillId="10" borderId="6" xfId="0" applyFont="1" applyFill="1" applyBorder="1"/>
    <xf numFmtId="0" fontId="3" fillId="5" borderId="43" xfId="0" applyFont="1" applyFill="1" applyBorder="1"/>
    <xf numFmtId="0" fontId="3" fillId="10" borderId="44" xfId="0" applyFont="1" applyFill="1" applyBorder="1"/>
    <xf numFmtId="0" fontId="3" fillId="5" borderId="45" xfId="0" applyFont="1" applyFill="1" applyBorder="1"/>
    <xf numFmtId="0" fontId="13" fillId="11" borderId="48" xfId="0" applyFont="1" applyFill="1" applyBorder="1" applyAlignment="1">
      <alignment horizontal="left"/>
    </xf>
    <xf numFmtId="0" fontId="13" fillId="11" borderId="49" xfId="0" applyFont="1" applyFill="1" applyBorder="1" applyAlignment="1">
      <alignment horizontal="left"/>
    </xf>
    <xf numFmtId="0" fontId="1" fillId="11" borderId="6" xfId="0" applyFont="1" applyFill="1" applyBorder="1" applyAlignment="1">
      <alignment horizontal="center"/>
    </xf>
    <xf numFmtId="2" fontId="1" fillId="11" borderId="1" xfId="0" applyNumberFormat="1" applyFont="1" applyFill="1" applyBorder="1"/>
    <xf numFmtId="0" fontId="1" fillId="11" borderId="1" xfId="0" applyFont="1" applyFill="1" applyBorder="1"/>
    <xf numFmtId="0" fontId="1" fillId="11" borderId="44" xfId="0" applyFont="1" applyFill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8" fontId="3" fillId="0" borderId="7" xfId="0" applyNumberFormat="1" applyFont="1" applyBorder="1" applyAlignment="1">
      <alignment horizontal="center"/>
    </xf>
    <xf numFmtId="168" fontId="3" fillId="0" borderId="30" xfId="0" applyNumberFormat="1" applyFont="1" applyBorder="1" applyAlignment="1">
      <alignment horizontal="center"/>
    </xf>
    <xf numFmtId="0" fontId="1" fillId="0" borderId="51" xfId="0" applyFont="1" applyBorder="1"/>
    <xf numFmtId="165" fontId="1" fillId="0" borderId="43" xfId="0" applyNumberFormat="1" applyFont="1" applyBorder="1"/>
    <xf numFmtId="167" fontId="1" fillId="0" borderId="0" xfId="0" applyNumberFormat="1" applyFont="1"/>
    <xf numFmtId="0" fontId="1" fillId="2" borderId="40" xfId="0" applyFont="1" applyFill="1" applyBorder="1" applyAlignment="1">
      <alignment horizontal="left"/>
    </xf>
    <xf numFmtId="0" fontId="7" fillId="0" borderId="33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166" fontId="7" fillId="0" borderId="30" xfId="0" applyNumberFormat="1" applyFont="1" applyBorder="1" applyAlignment="1">
      <alignment horizontal="center"/>
    </xf>
    <xf numFmtId="166" fontId="7" fillId="0" borderId="31" xfId="0" applyNumberFormat="1" applyFont="1" applyBorder="1" applyAlignment="1">
      <alignment horizontal="center"/>
    </xf>
    <xf numFmtId="0" fontId="1" fillId="3" borderId="53" xfId="0" applyFont="1" applyFill="1" applyBorder="1" applyAlignment="1">
      <alignment horizontal="center"/>
    </xf>
    <xf numFmtId="0" fontId="7" fillId="2" borderId="6" xfId="0" applyFont="1" applyFill="1" applyBorder="1"/>
    <xf numFmtId="2" fontId="1" fillId="0" borderId="43" xfId="0" applyNumberFormat="1" applyFont="1" applyBorder="1"/>
    <xf numFmtId="0" fontId="7" fillId="12" borderId="1" xfId="0" applyFont="1" applyFill="1" applyBorder="1"/>
    <xf numFmtId="0" fontId="3" fillId="13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170" fontId="14" fillId="0" borderId="0" xfId="0" applyNumberFormat="1" applyFont="1"/>
    <xf numFmtId="10" fontId="1" fillId="0" borderId="1" xfId="0" applyNumberFormat="1" applyFont="1" applyBorder="1"/>
    <xf numFmtId="0" fontId="3" fillId="14" borderId="1" xfId="0" applyFont="1" applyFill="1" applyBorder="1" applyAlignment="1">
      <alignment horizontal="right"/>
    </xf>
    <xf numFmtId="171" fontId="3" fillId="14" borderId="40" xfId="0" applyNumberFormat="1" applyFont="1" applyFill="1" applyBorder="1" applyAlignment="1">
      <alignment horizontal="right"/>
    </xf>
    <xf numFmtId="0" fontId="1" fillId="14" borderId="8" xfId="0" applyFont="1" applyFill="1" applyBorder="1"/>
    <xf numFmtId="0" fontId="1" fillId="13" borderId="1" xfId="0" applyFont="1" applyFill="1" applyBorder="1" applyAlignment="1">
      <alignment horizontal="left"/>
    </xf>
    <xf numFmtId="0" fontId="1" fillId="13" borderId="1" xfId="0" applyFont="1" applyFill="1" applyBorder="1"/>
    <xf numFmtId="0" fontId="1" fillId="14" borderId="1" xfId="0" applyFont="1" applyFill="1" applyBorder="1"/>
    <xf numFmtId="0" fontId="1" fillId="14" borderId="40" xfId="0" applyFont="1" applyFill="1" applyBorder="1"/>
    <xf numFmtId="0" fontId="3" fillId="13" borderId="1" xfId="0" applyFont="1" applyFill="1" applyBorder="1"/>
    <xf numFmtId="0" fontId="3" fillId="0" borderId="2" xfId="0" applyFont="1" applyBorder="1"/>
    <xf numFmtId="171" fontId="3" fillId="0" borderId="1" xfId="0" applyNumberFormat="1" applyFont="1" applyBorder="1"/>
    <xf numFmtId="171" fontId="1" fillId="0" borderId="1" xfId="0" applyNumberFormat="1" applyFont="1" applyBorder="1"/>
    <xf numFmtId="169" fontId="1" fillId="0" borderId="1" xfId="0" applyNumberFormat="1" applyFont="1" applyBorder="1"/>
    <xf numFmtId="0" fontId="5" fillId="3" borderId="57" xfId="0" applyFont="1" applyFill="1" applyBorder="1" applyAlignment="1">
      <alignment horizontal="left" vertical="center"/>
    </xf>
    <xf numFmtId="172" fontId="1" fillId="0" borderId="1" xfId="0" applyNumberFormat="1" applyFont="1" applyBorder="1" applyAlignment="1">
      <alignment horizontal="right"/>
    </xf>
    <xf numFmtId="172" fontId="3" fillId="0" borderId="1" xfId="0" applyNumberFormat="1" applyFont="1" applyBorder="1" applyAlignment="1">
      <alignment horizontal="right"/>
    </xf>
    <xf numFmtId="0" fontId="15" fillId="0" borderId="0" xfId="0" applyFont="1"/>
    <xf numFmtId="0" fontId="7" fillId="5" borderId="1" xfId="0" applyFont="1" applyFill="1" applyBorder="1"/>
    <xf numFmtId="0" fontId="1" fillId="15" borderId="57" xfId="0" applyFont="1" applyFill="1" applyBorder="1"/>
    <xf numFmtId="0" fontId="1" fillId="16" borderId="23" xfId="0" applyFont="1" applyFill="1" applyBorder="1" applyAlignment="1">
      <alignment horizontal="left"/>
    </xf>
    <xf numFmtId="0" fontId="1" fillId="17" borderId="23" xfId="0" applyFont="1" applyFill="1" applyBorder="1" applyAlignment="1">
      <alignment horizontal="left"/>
    </xf>
    <xf numFmtId="0" fontId="3" fillId="16" borderId="1" xfId="0" applyFont="1" applyFill="1" applyBorder="1" applyAlignment="1">
      <alignment horizontal="center" vertical="center"/>
    </xf>
    <xf numFmtId="2" fontId="1" fillId="15" borderId="1" xfId="0" applyNumberFormat="1" applyFont="1" applyFill="1" applyBorder="1" applyAlignment="1">
      <alignment horizontal="center"/>
    </xf>
    <xf numFmtId="0" fontId="9" fillId="6" borderId="0" xfId="0" applyFont="1" applyFill="1"/>
    <xf numFmtId="0" fontId="3" fillId="18" borderId="23" xfId="0" applyFont="1" applyFill="1" applyBorder="1" applyAlignment="1">
      <alignment horizontal="left"/>
    </xf>
    <xf numFmtId="0" fontId="3" fillId="16" borderId="1" xfId="0" applyFont="1" applyFill="1" applyBorder="1" applyAlignment="1">
      <alignment horizontal="center"/>
    </xf>
    <xf numFmtId="2" fontId="1" fillId="19" borderId="1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left" wrapText="1"/>
    </xf>
    <xf numFmtId="2" fontId="3" fillId="19" borderId="1" xfId="0" applyNumberFormat="1" applyFont="1" applyFill="1" applyBorder="1" applyAlignment="1">
      <alignment horizontal="center"/>
    </xf>
    <xf numFmtId="0" fontId="9" fillId="20" borderId="1" xfId="0" applyFont="1" applyFill="1" applyBorder="1"/>
    <xf numFmtId="2" fontId="16" fillId="6" borderId="1" xfId="0" applyNumberFormat="1" applyFont="1" applyFill="1" applyBorder="1" applyAlignment="1">
      <alignment horizontal="center"/>
    </xf>
    <xf numFmtId="0" fontId="17" fillId="0" borderId="0" xfId="0" applyFont="1"/>
    <xf numFmtId="2" fontId="3" fillId="15" borderId="1" xfId="0" applyNumberFormat="1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0" fontId="3" fillId="16" borderId="10" xfId="0" applyFont="1" applyFill="1" applyBorder="1" applyAlignment="1">
      <alignment horizontal="center"/>
    </xf>
    <xf numFmtId="2" fontId="3" fillId="16" borderId="13" xfId="0" applyNumberFormat="1" applyFont="1" applyFill="1" applyBorder="1" applyAlignment="1">
      <alignment horizontal="center"/>
    </xf>
    <xf numFmtId="0" fontId="4" fillId="6" borderId="0" xfId="0" applyFont="1" applyFill="1"/>
    <xf numFmtId="168" fontId="3" fillId="6" borderId="1" xfId="0" applyNumberFormat="1" applyFont="1" applyFill="1" applyBorder="1" applyAlignment="1">
      <alignment horizontal="center"/>
    </xf>
    <xf numFmtId="168" fontId="3" fillId="6" borderId="7" xfId="0" applyNumberFormat="1" applyFont="1" applyFill="1" applyBorder="1" applyAlignment="1">
      <alignment horizontal="center"/>
    </xf>
    <xf numFmtId="168" fontId="3" fillId="6" borderId="30" xfId="0" applyNumberFormat="1" applyFont="1" applyFill="1" applyBorder="1" applyAlignment="1">
      <alignment horizontal="center"/>
    </xf>
    <xf numFmtId="0" fontId="1" fillId="17" borderId="1" xfId="0" applyFont="1" applyFill="1" applyBorder="1"/>
    <xf numFmtId="165" fontId="1" fillId="6" borderId="1" xfId="0" applyNumberFormat="1" applyFont="1" applyFill="1" applyBorder="1"/>
    <xf numFmtId="165" fontId="1" fillId="6" borderId="43" xfId="0" applyNumberFormat="1" applyFont="1" applyFill="1" applyBorder="1"/>
    <xf numFmtId="0" fontId="1" fillId="6" borderId="1" xfId="0" applyFont="1" applyFill="1" applyBorder="1"/>
    <xf numFmtId="167" fontId="1" fillId="6" borderId="0" xfId="0" applyNumberFormat="1" applyFont="1" applyFill="1"/>
    <xf numFmtId="0" fontId="3" fillId="6" borderId="1" xfId="0" applyFont="1" applyFill="1" applyBorder="1"/>
    <xf numFmtId="0" fontId="1" fillId="16" borderId="33" xfId="0" applyFont="1" applyFill="1" applyBorder="1"/>
    <xf numFmtId="0" fontId="1" fillId="16" borderId="30" xfId="0" applyFont="1" applyFill="1" applyBorder="1"/>
    <xf numFmtId="0" fontId="1" fillId="16" borderId="33" xfId="0" applyFont="1" applyFill="1" applyBorder="1" applyAlignment="1">
      <alignment horizontal="center"/>
    </xf>
    <xf numFmtId="0" fontId="1" fillId="16" borderId="30" xfId="0" applyFont="1" applyFill="1" applyBorder="1" applyAlignment="1">
      <alignment horizontal="center"/>
    </xf>
    <xf numFmtId="0" fontId="7" fillId="16" borderId="33" xfId="0" applyFont="1" applyFill="1" applyBorder="1" applyAlignment="1">
      <alignment horizontal="center"/>
    </xf>
    <xf numFmtId="0" fontId="7" fillId="16" borderId="30" xfId="0" applyFont="1" applyFill="1" applyBorder="1" applyAlignment="1">
      <alignment horizontal="center"/>
    </xf>
    <xf numFmtId="166" fontId="1" fillId="16" borderId="30" xfId="0" applyNumberFormat="1" applyFont="1" applyFill="1" applyBorder="1" applyAlignment="1">
      <alignment horizontal="center"/>
    </xf>
    <xf numFmtId="0" fontId="1" fillId="16" borderId="53" xfId="0" applyFont="1" applyFill="1" applyBorder="1" applyAlignment="1">
      <alignment horizontal="center"/>
    </xf>
    <xf numFmtId="0" fontId="1" fillId="16" borderId="57" xfId="0" applyFont="1" applyFill="1" applyBorder="1" applyAlignment="1">
      <alignment horizontal="center"/>
    </xf>
    <xf numFmtId="2" fontId="1" fillId="6" borderId="43" xfId="0" applyNumberFormat="1" applyFont="1" applyFill="1" applyBorder="1"/>
    <xf numFmtId="167" fontId="1" fillId="6" borderId="1" xfId="0" applyNumberFormat="1" applyFont="1" applyFill="1" applyBorder="1" applyAlignment="1">
      <alignment horizontal="center"/>
    </xf>
    <xf numFmtId="2" fontId="1" fillId="16" borderId="1" xfId="0" applyNumberFormat="1" applyFont="1" applyFill="1" applyBorder="1" applyAlignment="1">
      <alignment horizontal="center"/>
    </xf>
    <xf numFmtId="167" fontId="1" fillId="15" borderId="1" xfId="0" applyNumberFormat="1" applyFont="1" applyFill="1" applyBorder="1" applyAlignment="1">
      <alignment horizontal="center"/>
    </xf>
    <xf numFmtId="0" fontId="1" fillId="17" borderId="1" xfId="0" applyFont="1" applyFill="1" applyBorder="1" applyAlignment="1">
      <alignment horizontal="right"/>
    </xf>
    <xf numFmtId="0" fontId="1" fillId="21" borderId="2" xfId="0" applyFont="1" applyFill="1" applyBorder="1"/>
    <xf numFmtId="0" fontId="1" fillId="21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/>
    <xf numFmtId="0" fontId="1" fillId="1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/>
    <xf numFmtId="168" fontId="9" fillId="0" borderId="0" xfId="0" applyNumberFormat="1" applyFont="1"/>
    <xf numFmtId="0" fontId="3" fillId="6" borderId="1" xfId="0" applyFont="1" applyFill="1" applyBorder="1" applyAlignment="1">
      <alignment horizontal="right"/>
    </xf>
    <xf numFmtId="10" fontId="3" fillId="6" borderId="1" xfId="0" applyNumberFormat="1" applyFont="1" applyFill="1" applyBorder="1"/>
    <xf numFmtId="0" fontId="7" fillId="15" borderId="1" xfId="0" applyFont="1" applyFill="1" applyBorder="1" applyAlignment="1">
      <alignment horizontal="right"/>
    </xf>
    <xf numFmtId="0" fontId="3" fillId="15" borderId="1" xfId="0" applyFont="1" applyFill="1" applyBorder="1"/>
    <xf numFmtId="171" fontId="3" fillId="15" borderId="1" xfId="0" applyNumberFormat="1" applyFont="1" applyFill="1" applyBorder="1"/>
    <xf numFmtId="169" fontId="1" fillId="16" borderId="1" xfId="0" applyNumberFormat="1" applyFont="1" applyFill="1" applyBorder="1"/>
    <xf numFmtId="0" fontId="1" fillId="22" borderId="1" xfId="0" applyFont="1" applyFill="1" applyBorder="1"/>
    <xf numFmtId="172" fontId="1" fillId="16" borderId="1" xfId="0" applyNumberFormat="1" applyFont="1" applyFill="1" applyBorder="1" applyAlignment="1">
      <alignment horizontal="right"/>
    </xf>
    <xf numFmtId="172" fontId="3" fillId="16" borderId="1" xfId="0" applyNumberFormat="1" applyFont="1" applyFill="1" applyBorder="1" applyAlignment="1">
      <alignment horizontal="right"/>
    </xf>
    <xf numFmtId="0" fontId="1" fillId="16" borderId="1" xfId="0" applyFont="1" applyFill="1" applyBorder="1" applyAlignment="1">
      <alignment horizontal="right"/>
    </xf>
    <xf numFmtId="0" fontId="7" fillId="17" borderId="8" xfId="0" applyFont="1" applyFill="1" applyBorder="1"/>
    <xf numFmtId="0" fontId="7" fillId="17" borderId="0" xfId="0" applyFont="1" applyFill="1"/>
    <xf numFmtId="0" fontId="7" fillId="6" borderId="1" xfId="0" applyFont="1" applyFill="1" applyBorder="1"/>
    <xf numFmtId="0" fontId="3" fillId="10" borderId="8" xfId="0" applyFont="1" applyFill="1" applyBorder="1"/>
    <xf numFmtId="0" fontId="3" fillId="6" borderId="53" xfId="0" applyFont="1" applyFill="1" applyBorder="1"/>
    <xf numFmtId="0" fontId="3" fillId="6" borderId="43" xfId="0" applyFont="1" applyFill="1" applyBorder="1"/>
    <xf numFmtId="0" fontId="1" fillId="0" borderId="31" xfId="0" applyFont="1" applyBorder="1"/>
    <xf numFmtId="0" fontId="3" fillId="6" borderId="45" xfId="0" applyFont="1" applyFill="1" applyBorder="1"/>
    <xf numFmtId="0" fontId="1" fillId="23" borderId="40" xfId="0" applyFont="1" applyFill="1" applyBorder="1"/>
    <xf numFmtId="0" fontId="1" fillId="23" borderId="41" xfId="0" applyFont="1" applyFill="1" applyBorder="1"/>
    <xf numFmtId="0" fontId="1" fillId="23" borderId="9" xfId="0" applyFont="1" applyFill="1" applyBorder="1"/>
    <xf numFmtId="0" fontId="5" fillId="24" borderId="15" xfId="0" applyFont="1" applyFill="1" applyBorder="1"/>
    <xf numFmtId="0" fontId="1" fillId="24" borderId="58" xfId="0" applyFont="1" applyFill="1" applyBorder="1"/>
    <xf numFmtId="0" fontId="1" fillId="24" borderId="59" xfId="0" applyFont="1" applyFill="1" applyBorder="1"/>
    <xf numFmtId="0" fontId="3" fillId="24" borderId="6" xfId="0" applyFont="1" applyFill="1" applyBorder="1"/>
    <xf numFmtId="0" fontId="3" fillId="24" borderId="1" xfId="0" applyFont="1" applyFill="1" applyBorder="1"/>
    <xf numFmtId="0" fontId="3" fillId="24" borderId="44" xfId="0" applyFont="1" applyFill="1" applyBorder="1"/>
    <xf numFmtId="0" fontId="3" fillId="24" borderId="30" xfId="0" applyFont="1" applyFill="1" applyBorder="1"/>
    <xf numFmtId="0" fontId="4" fillId="21" borderId="6" xfId="0" applyFont="1" applyFill="1" applyBorder="1" applyAlignment="1">
      <alignment horizontal="center"/>
    </xf>
    <xf numFmtId="0" fontId="4" fillId="17" borderId="1" xfId="0" applyFont="1" applyFill="1" applyBorder="1"/>
    <xf numFmtId="0" fontId="4" fillId="21" borderId="1" xfId="0" applyFont="1" applyFill="1" applyBorder="1"/>
    <xf numFmtId="0" fontId="4" fillId="21" borderId="44" xfId="0" applyFont="1" applyFill="1" applyBorder="1" applyAlignment="1">
      <alignment horizontal="center"/>
    </xf>
    <xf numFmtId="0" fontId="1" fillId="25" borderId="61" xfId="0" applyFont="1" applyFill="1" applyBorder="1"/>
    <xf numFmtId="0" fontId="1" fillId="26" borderId="62" xfId="0" applyFont="1" applyFill="1" applyBorder="1"/>
    <xf numFmtId="0" fontId="1" fillId="26" borderId="63" xfId="0" applyFont="1" applyFill="1" applyBorder="1"/>
    <xf numFmtId="0" fontId="1" fillId="27" borderId="64" xfId="0" applyFont="1" applyFill="1" applyBorder="1"/>
    <xf numFmtId="0" fontId="7" fillId="27" borderId="64" xfId="0" applyFont="1" applyFill="1" applyBorder="1"/>
    <xf numFmtId="0" fontId="1" fillId="27" borderId="65" xfId="0" applyFont="1" applyFill="1" applyBorder="1"/>
    <xf numFmtId="0" fontId="11" fillId="6" borderId="8" xfId="0" applyFont="1" applyFill="1" applyBorder="1"/>
    <xf numFmtId="0" fontId="1" fillId="5" borderId="66" xfId="0" applyFont="1" applyFill="1" applyBorder="1" applyAlignment="1">
      <alignment horizontal="left"/>
    </xf>
    <xf numFmtId="0" fontId="1" fillId="0" borderId="50" xfId="0" applyFont="1" applyBorder="1"/>
    <xf numFmtId="0" fontId="1" fillId="0" borderId="45" xfId="0" applyFont="1" applyBorder="1"/>
    <xf numFmtId="0" fontId="1" fillId="0" borderId="7" xfId="0" applyFont="1" applyBorder="1"/>
    <xf numFmtId="0" fontId="1" fillId="0" borderId="67" xfId="0" applyFont="1" applyBorder="1"/>
    <xf numFmtId="0" fontId="1" fillId="0" borderId="50" xfId="0" applyFont="1" applyBorder="1" applyAlignment="1">
      <alignment horizontal="center"/>
    </xf>
    <xf numFmtId="166" fontId="1" fillId="0" borderId="68" xfId="0" applyNumberFormat="1" applyFont="1" applyBorder="1" applyAlignment="1">
      <alignment horizontal="center"/>
    </xf>
    <xf numFmtId="0" fontId="1" fillId="0" borderId="68" xfId="0" applyFont="1" applyBorder="1"/>
    <xf numFmtId="1" fontId="1" fillId="0" borderId="33" xfId="0" applyNumberFormat="1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2" xfId="0" applyFont="1" applyBorder="1"/>
    <xf numFmtId="1" fontId="1" fillId="0" borderId="30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5" fillId="28" borderId="57" xfId="0" applyFont="1" applyFill="1" applyBorder="1" applyAlignment="1">
      <alignment horizontal="left" vertical="center"/>
    </xf>
    <xf numFmtId="0" fontId="5" fillId="28" borderId="23" xfId="0" applyFont="1" applyFill="1" applyBorder="1" applyAlignment="1">
      <alignment horizontal="left" vertical="center"/>
    </xf>
    <xf numFmtId="0" fontId="1" fillId="28" borderId="23" xfId="0" applyFont="1" applyFill="1" applyBorder="1" applyAlignment="1">
      <alignment horizontal="center" vertical="center"/>
    </xf>
    <xf numFmtId="0" fontId="1" fillId="28" borderId="57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left"/>
    </xf>
    <xf numFmtId="0" fontId="1" fillId="0" borderId="60" xfId="0" applyFont="1" applyBorder="1" applyAlignment="1">
      <alignment horizontal="center"/>
    </xf>
    <xf numFmtId="166" fontId="1" fillId="0" borderId="45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0" fontId="1" fillId="0" borderId="60" xfId="0" applyFont="1" applyBorder="1"/>
    <xf numFmtId="0" fontId="1" fillId="0" borderId="72" xfId="0" applyFont="1" applyBorder="1"/>
    <xf numFmtId="0" fontId="5" fillId="28" borderId="1" xfId="0" applyFont="1" applyFill="1" applyBorder="1" applyAlignment="1">
      <alignment horizontal="left" vertical="center"/>
    </xf>
    <xf numFmtId="0" fontId="1" fillId="0" borderId="67" xfId="0" applyFont="1" applyBorder="1" applyAlignment="1">
      <alignment horizontal="center"/>
    </xf>
    <xf numFmtId="0" fontId="1" fillId="2" borderId="57" xfId="0" applyFont="1" applyFill="1" applyBorder="1" applyAlignment="1">
      <alignment horizontal="left"/>
    </xf>
    <xf numFmtId="0" fontId="1" fillId="0" borderId="73" xfId="0" applyFont="1" applyBorder="1" applyAlignment="1">
      <alignment horizontal="center"/>
    </xf>
    <xf numFmtId="0" fontId="1" fillId="28" borderId="53" xfId="0" applyFont="1" applyFill="1" applyBorder="1" applyAlignment="1">
      <alignment horizontal="center"/>
    </xf>
    <xf numFmtId="0" fontId="19" fillId="0" borderId="0" xfId="1"/>
    <xf numFmtId="0" fontId="20" fillId="29" borderId="0" xfId="1" applyFont="1" applyFill="1"/>
    <xf numFmtId="0" fontId="20" fillId="29" borderId="0" xfId="0" applyFont="1" applyFill="1"/>
    <xf numFmtId="0" fontId="21" fillId="0" borderId="74" xfId="0" applyFont="1" applyBorder="1" applyAlignment="1">
      <alignment horizontal="center" vertical="top"/>
    </xf>
    <xf numFmtId="0" fontId="22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2" fillId="0" borderId="17" xfId="0" applyFont="1" applyBorder="1"/>
    <xf numFmtId="0" fontId="2" fillId="0" borderId="18" xfId="0" applyFont="1" applyBorder="1"/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2" fillId="0" borderId="28" xfId="0" applyFont="1" applyBorder="1"/>
    <xf numFmtId="0" fontId="1" fillId="2" borderId="26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29" xfId="0" applyFont="1" applyBorder="1"/>
    <xf numFmtId="0" fontId="1" fillId="0" borderId="32" xfId="0" applyFont="1" applyBorder="1" applyAlignment="1">
      <alignment horizontal="center" vertical="center"/>
    </xf>
    <xf numFmtId="0" fontId="2" fillId="0" borderId="34" xfId="0" applyFont="1" applyBorder="1"/>
    <xf numFmtId="0" fontId="2" fillId="0" borderId="13" xfId="0" applyFont="1" applyBorder="1"/>
    <xf numFmtId="9" fontId="1" fillId="0" borderId="32" xfId="0" applyNumberFormat="1" applyFont="1" applyBorder="1" applyAlignment="1">
      <alignment horizontal="center" vertical="center"/>
    </xf>
    <xf numFmtId="0" fontId="5" fillId="3" borderId="35" xfId="0" applyFont="1" applyFill="1" applyBorder="1" applyAlignment="1">
      <alignment horizontal="left" vertical="center"/>
    </xf>
    <xf numFmtId="0" fontId="2" fillId="0" borderId="36" xfId="0" applyFont="1" applyBorder="1"/>
    <xf numFmtId="0" fontId="2" fillId="0" borderId="38" xfId="0" applyFont="1" applyBorder="1"/>
    <xf numFmtId="0" fontId="2" fillId="0" borderId="37" xfId="0" applyFont="1" applyBorder="1"/>
    <xf numFmtId="0" fontId="5" fillId="9" borderId="46" xfId="0" applyFont="1" applyFill="1" applyBorder="1" applyAlignment="1">
      <alignment horizontal="left"/>
    </xf>
    <xf numFmtId="0" fontId="2" fillId="0" borderId="47" xfId="0" applyFont="1" applyBorder="1"/>
    <xf numFmtId="0" fontId="1" fillId="11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7" fillId="0" borderId="32" xfId="0" applyFont="1" applyBorder="1" applyAlignment="1">
      <alignment horizontal="center" vertical="center"/>
    </xf>
    <xf numFmtId="9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3" borderId="54" xfId="0" applyFont="1" applyFill="1" applyBorder="1" applyAlignment="1">
      <alignment horizontal="left" vertical="center"/>
    </xf>
    <xf numFmtId="0" fontId="2" fillId="0" borderId="55" xfId="0" applyFont="1" applyBorder="1"/>
    <xf numFmtId="0" fontId="2" fillId="0" borderId="56" xfId="0" applyFont="1" applyBorder="1"/>
    <xf numFmtId="0" fontId="7" fillId="16" borderId="32" xfId="0" applyFont="1" applyFill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/>
    </xf>
    <xf numFmtId="0" fontId="4" fillId="21" borderId="10" xfId="0" applyFont="1" applyFill="1" applyBorder="1" applyAlignment="1">
      <alignment horizontal="center" vertical="center"/>
    </xf>
    <xf numFmtId="0" fontId="13" fillId="21" borderId="54" xfId="0" applyFont="1" applyFill="1" applyBorder="1" applyAlignment="1">
      <alignment horizontal="left" wrapText="1"/>
    </xf>
    <xf numFmtId="0" fontId="2" fillId="0" borderId="60" xfId="0" applyFont="1" applyBorder="1"/>
    <xf numFmtId="167" fontId="1" fillId="0" borderId="32" xfId="0" applyNumberFormat="1" applyFont="1" applyBorder="1" applyAlignment="1">
      <alignment horizontal="center" vertical="center"/>
    </xf>
    <xf numFmtId="0" fontId="1" fillId="2" borderId="69" xfId="0" applyFont="1" applyFill="1" applyBorder="1" applyAlignment="1">
      <alignment horizontal="center" vertical="center"/>
    </xf>
    <xf numFmtId="0" fontId="2" fillId="0" borderId="70" xfId="0" applyFont="1" applyBorder="1"/>
    <xf numFmtId="0" fontId="1" fillId="0" borderId="26" xfId="0" applyFont="1" applyBorder="1" applyAlignment="1">
      <alignment horizontal="center" vertical="center"/>
    </xf>
    <xf numFmtId="0" fontId="2" fillId="0" borderId="71" xfId="0" applyFont="1" applyBorder="1"/>
    <xf numFmtId="1" fontId="1" fillId="0" borderId="32" xfId="0" applyNumberFormat="1" applyFont="1" applyBorder="1" applyAlignment="1">
      <alignment horizontal="center" vertical="center"/>
    </xf>
  </cellXfs>
  <cellStyles count="2">
    <cellStyle name="Avertissement" xfId="1" builtinId="11"/>
    <cellStyle name="Normal" xfId="0" builtinId="0"/>
  </cellStyles>
  <dxfs count="13">
    <dxf>
      <font>
        <color rgb="FF9C57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docs.google.com/spreadsheets/d/1-CBWpoP0BdU4gydHYR8BtMLCTfhUg5nU/edit?usp=sharing&amp;ouid=102778997135222975072&amp;rtpof=true&amp;sd=tru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000"/>
  <sheetViews>
    <sheetView zoomScale="60" zoomScaleNormal="60" workbookViewId="0">
      <selection activeCell="C68" sqref="C68"/>
    </sheetView>
  </sheetViews>
  <sheetFormatPr baseColWidth="10" defaultColWidth="14.42578125" defaultRowHeight="15" customHeight="1" x14ac:dyDescent="0.25"/>
  <cols>
    <col min="1" max="1" width="45" customWidth="1"/>
    <col min="2" max="2" width="14.85546875" customWidth="1"/>
    <col min="3" max="3" width="11.42578125" customWidth="1"/>
    <col min="4" max="4" width="14.140625" customWidth="1"/>
    <col min="5" max="5" width="26.7109375" customWidth="1"/>
    <col min="6" max="6" width="24.7109375" customWidth="1"/>
    <col min="7" max="7" width="16.85546875" customWidth="1"/>
    <col min="8" max="9" width="11.42578125" customWidth="1"/>
    <col min="10" max="10" width="19.42578125" customWidth="1"/>
    <col min="11" max="26" width="11.42578125" customWidth="1"/>
  </cols>
  <sheetData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93" t="s">
        <v>7</v>
      </c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5"/>
    </row>
    <row r="3" spans="1:19" x14ac:dyDescent="0.25">
      <c r="A3" s="1"/>
      <c r="B3" s="1" t="s">
        <v>8</v>
      </c>
      <c r="C3" s="1" t="s">
        <v>9</v>
      </c>
      <c r="D3" s="1" t="s">
        <v>10</v>
      </c>
      <c r="E3" s="1" t="s">
        <v>8</v>
      </c>
      <c r="F3" s="1" t="s">
        <v>9</v>
      </c>
      <c r="G3" s="1" t="s">
        <v>9</v>
      </c>
      <c r="H3" s="1">
        <v>1995</v>
      </c>
      <c r="I3" s="1">
        <v>2007</v>
      </c>
      <c r="J3" s="1">
        <v>2015</v>
      </c>
      <c r="K3" s="1">
        <v>2020</v>
      </c>
      <c r="L3" s="1">
        <v>2030</v>
      </c>
      <c r="M3" s="1">
        <v>2040</v>
      </c>
      <c r="N3" s="1">
        <v>2050</v>
      </c>
      <c r="O3" s="1">
        <v>2060</v>
      </c>
      <c r="P3" s="1">
        <v>2070</v>
      </c>
      <c r="Q3" s="1">
        <v>2080</v>
      </c>
      <c r="R3" s="1">
        <v>2090</v>
      </c>
      <c r="S3" s="1">
        <v>2100</v>
      </c>
    </row>
    <row r="4" spans="1:19" x14ac:dyDescent="0.25">
      <c r="A4" s="2" t="s">
        <v>11</v>
      </c>
      <c r="B4" s="3">
        <v>50</v>
      </c>
      <c r="C4" s="4">
        <v>80</v>
      </c>
      <c r="D4" s="4">
        <v>0.04</v>
      </c>
      <c r="E4" s="4" t="s">
        <v>12</v>
      </c>
      <c r="F4" s="3">
        <v>2</v>
      </c>
      <c r="G4" s="3">
        <v>2</v>
      </c>
      <c r="H4" s="5">
        <f>I4</f>
        <v>2.2148124796173501</v>
      </c>
      <c r="I4" s="5">
        <v>2.2148124796173501</v>
      </c>
      <c r="J4" s="5">
        <v>2.3449992390477199</v>
      </c>
      <c r="K4" s="5">
        <v>2.4170522882922101</v>
      </c>
      <c r="L4" s="5">
        <v>2.5259506468094401</v>
      </c>
      <c r="M4" s="5">
        <v>2.6168357430155398</v>
      </c>
      <c r="N4" s="5">
        <v>2.69707663876508</v>
      </c>
      <c r="O4" s="5">
        <f t="shared" ref="O4:S4" si="0">N4</f>
        <v>2.69707663876508</v>
      </c>
      <c r="P4" s="5">
        <f t="shared" si="0"/>
        <v>2.69707663876508</v>
      </c>
      <c r="Q4" s="5">
        <f t="shared" si="0"/>
        <v>2.69707663876508</v>
      </c>
      <c r="R4" s="5">
        <f t="shared" si="0"/>
        <v>2.69707663876508</v>
      </c>
      <c r="S4" s="5">
        <f t="shared" si="0"/>
        <v>2.69707663876508</v>
      </c>
    </row>
    <row r="5" spans="1:19" x14ac:dyDescent="0.25">
      <c r="A5" s="6" t="s">
        <v>13</v>
      </c>
      <c r="B5" s="4">
        <v>7</v>
      </c>
      <c r="C5" s="4">
        <v>30</v>
      </c>
      <c r="D5" s="4">
        <v>0.5</v>
      </c>
      <c r="E5" s="4" t="s">
        <v>12</v>
      </c>
      <c r="F5" s="4">
        <v>2</v>
      </c>
      <c r="G5" s="4">
        <v>3.5</v>
      </c>
      <c r="H5" s="5">
        <f t="shared" ref="H5:H10" si="1">I5*2</f>
        <v>20.3811875203826</v>
      </c>
      <c r="I5" s="5">
        <v>10.1905937601913</v>
      </c>
      <c r="J5" s="5">
        <v>8.9042830742471999</v>
      </c>
      <c r="K5" s="5">
        <v>7.5197182302424199</v>
      </c>
      <c r="L5" s="5">
        <v>5.9361887161647999</v>
      </c>
      <c r="M5" s="5">
        <v>4.9470968583541701</v>
      </c>
      <c r="N5" s="5">
        <v>4.2544050440265302</v>
      </c>
      <c r="O5" s="5">
        <f t="shared" ref="O5:S5" si="2">N5</f>
        <v>4.2544050440265302</v>
      </c>
      <c r="P5" s="5">
        <f t="shared" si="2"/>
        <v>4.2544050440265302</v>
      </c>
      <c r="Q5" s="5">
        <f t="shared" si="2"/>
        <v>4.2544050440265302</v>
      </c>
      <c r="R5" s="5">
        <f t="shared" si="2"/>
        <v>4.2544050440265302</v>
      </c>
      <c r="S5" s="5">
        <f t="shared" si="2"/>
        <v>4.2544050440265302</v>
      </c>
    </row>
    <row r="6" spans="1:19" x14ac:dyDescent="0.25">
      <c r="A6" s="6" t="s">
        <v>14</v>
      </c>
      <c r="B6" s="4">
        <v>1.5</v>
      </c>
      <c r="C6" s="4">
        <v>30</v>
      </c>
      <c r="D6" s="4">
        <v>0</v>
      </c>
      <c r="E6" s="4" t="s">
        <v>12</v>
      </c>
      <c r="F6" s="4">
        <v>2</v>
      </c>
      <c r="G6" s="4">
        <v>0.5</v>
      </c>
      <c r="H6" s="5">
        <f t="shared" si="1"/>
        <v>4.6146702902489398</v>
      </c>
      <c r="I6" s="5">
        <v>2.3073351451244699</v>
      </c>
      <c r="J6" s="5">
        <v>2.00765996303946</v>
      </c>
      <c r="K6" s="5">
        <v>1.9937406239808699</v>
      </c>
      <c r="L6" s="5">
        <v>1.94625111425155</v>
      </c>
      <c r="M6" s="5">
        <v>1.9233251440374</v>
      </c>
      <c r="N6" s="5">
        <v>1.9044930970757701</v>
      </c>
      <c r="O6" s="5">
        <f t="shared" ref="O6:S6" si="3">N6</f>
        <v>1.9044930970757701</v>
      </c>
      <c r="P6" s="5">
        <f t="shared" si="3"/>
        <v>1.9044930970757701</v>
      </c>
      <c r="Q6" s="5">
        <f t="shared" si="3"/>
        <v>1.9044930970757701</v>
      </c>
      <c r="R6" s="5">
        <f t="shared" si="3"/>
        <v>1.9044930970757701</v>
      </c>
      <c r="S6" s="5">
        <f t="shared" si="3"/>
        <v>1.9044930970757701</v>
      </c>
    </row>
    <row r="7" spans="1:19" x14ac:dyDescent="0.25">
      <c r="A7" s="6" t="s">
        <v>15</v>
      </c>
      <c r="B7" s="4">
        <v>3.25</v>
      </c>
      <c r="C7" s="4">
        <v>40</v>
      </c>
      <c r="D7" s="4">
        <v>0</v>
      </c>
      <c r="E7" s="4" t="s">
        <v>12</v>
      </c>
      <c r="F7" s="4">
        <v>2</v>
      </c>
      <c r="G7" s="4">
        <v>0.5</v>
      </c>
      <c r="H7" s="5">
        <f t="shared" si="1"/>
        <v>11.81670007609522</v>
      </c>
      <c r="I7" s="5">
        <v>5.9083500380476099</v>
      </c>
      <c r="J7" s="5">
        <v>3.1867098597673702</v>
      </c>
      <c r="K7" s="5">
        <v>2.2975097293184001</v>
      </c>
      <c r="L7" s="5">
        <v>1.7669372757908499</v>
      </c>
      <c r="M7" s="5">
        <v>1.47544994021089</v>
      </c>
      <c r="N7" s="5">
        <v>1.31414936406131</v>
      </c>
      <c r="O7" s="5">
        <f t="shared" ref="O7:S7" si="4">N7</f>
        <v>1.31414936406131</v>
      </c>
      <c r="P7" s="5">
        <f t="shared" si="4"/>
        <v>1.31414936406131</v>
      </c>
      <c r="Q7" s="5">
        <f t="shared" si="4"/>
        <v>1.31414936406131</v>
      </c>
      <c r="R7" s="5">
        <f t="shared" si="4"/>
        <v>1.31414936406131</v>
      </c>
      <c r="S7" s="5">
        <f t="shared" si="4"/>
        <v>1.31414936406131</v>
      </c>
    </row>
    <row r="8" spans="1:19" x14ac:dyDescent="0.25">
      <c r="A8" s="6" t="s">
        <v>16</v>
      </c>
      <c r="B8" s="4">
        <v>0</v>
      </c>
      <c r="C8" s="4">
        <v>20</v>
      </c>
      <c r="D8" s="4">
        <v>2.5000000000000001E-2</v>
      </c>
      <c r="E8" s="4" t="s">
        <v>12</v>
      </c>
      <c r="F8" s="4">
        <v>2</v>
      </c>
      <c r="G8" s="4">
        <v>1</v>
      </c>
      <c r="H8" s="5">
        <f t="shared" si="1"/>
        <v>2.4727296445265798</v>
      </c>
      <c r="I8" s="5">
        <v>1.2363648222632899</v>
      </c>
      <c r="J8" s="5">
        <v>1.0275747363843899</v>
      </c>
      <c r="K8" s="5">
        <v>0.81714708120447899</v>
      </c>
      <c r="L8" s="5">
        <v>0.779482987281226</v>
      </c>
      <c r="M8" s="5">
        <v>0.74181889335797302</v>
      </c>
      <c r="N8" s="5">
        <v>0.73199347755190802</v>
      </c>
      <c r="O8" s="5">
        <f t="shared" ref="O8:S8" si="5">N8</f>
        <v>0.73199347755190802</v>
      </c>
      <c r="P8" s="5">
        <f t="shared" si="5"/>
        <v>0.73199347755190802</v>
      </c>
      <c r="Q8" s="5">
        <f t="shared" si="5"/>
        <v>0.73199347755190802</v>
      </c>
      <c r="R8" s="5">
        <f t="shared" si="5"/>
        <v>0.73199347755190802</v>
      </c>
      <c r="S8" s="5">
        <f t="shared" si="5"/>
        <v>0.73199347755190802</v>
      </c>
    </row>
    <row r="9" spans="1:19" x14ac:dyDescent="0.25">
      <c r="A9" s="6" t="s">
        <v>17</v>
      </c>
      <c r="B9" s="4">
        <v>0</v>
      </c>
      <c r="C9" s="4">
        <v>20</v>
      </c>
      <c r="D9" s="4">
        <v>0.01</v>
      </c>
      <c r="E9" s="4" t="s">
        <v>12</v>
      </c>
      <c r="F9" s="4">
        <v>4</v>
      </c>
      <c r="G9" s="4">
        <v>0.5</v>
      </c>
      <c r="H9" s="5">
        <f t="shared" si="1"/>
        <v>4.7489509729318398</v>
      </c>
      <c r="I9" s="5">
        <v>2.3744754864659199</v>
      </c>
      <c r="J9" s="5">
        <v>1.8013262311120799</v>
      </c>
      <c r="K9" s="5">
        <v>1.2609283617784499</v>
      </c>
      <c r="L9" s="5">
        <v>1.1954255897380099</v>
      </c>
      <c r="M9" s="5">
        <v>1.0889835851723</v>
      </c>
      <c r="N9" s="5">
        <v>1.0685139689096601</v>
      </c>
      <c r="O9" s="5">
        <f t="shared" ref="O9:S9" si="6">N9</f>
        <v>1.0685139689096601</v>
      </c>
      <c r="P9" s="5">
        <f t="shared" si="6"/>
        <v>1.0685139689096601</v>
      </c>
      <c r="Q9" s="5">
        <f t="shared" si="6"/>
        <v>1.0685139689096601</v>
      </c>
      <c r="R9" s="5">
        <f t="shared" si="6"/>
        <v>1.0685139689096601</v>
      </c>
      <c r="S9" s="5">
        <f t="shared" si="6"/>
        <v>1.0685139689096601</v>
      </c>
    </row>
    <row r="10" spans="1:19" x14ac:dyDescent="0.25">
      <c r="A10" s="6" t="s">
        <v>18</v>
      </c>
      <c r="B10" s="4">
        <v>0</v>
      </c>
      <c r="C10" s="4">
        <v>25</v>
      </c>
      <c r="D10" s="4">
        <v>3.3000000000000002E-2</v>
      </c>
      <c r="E10" s="4" t="s">
        <v>12</v>
      </c>
      <c r="F10" s="4">
        <v>1</v>
      </c>
      <c r="G10" s="7">
        <v>0.5</v>
      </c>
      <c r="H10" s="5">
        <f t="shared" si="1"/>
        <v>6.1343346015871196</v>
      </c>
      <c r="I10" s="5">
        <v>3.0671673007935598</v>
      </c>
      <c r="J10" s="5">
        <v>2.13702793781933</v>
      </c>
      <c r="K10" s="5">
        <v>1.45416153929775</v>
      </c>
      <c r="L10" s="5">
        <v>0.84089183606913798</v>
      </c>
      <c r="M10" s="5">
        <v>0.64274595064680895</v>
      </c>
      <c r="N10" s="5">
        <v>0.62309511903467796</v>
      </c>
      <c r="O10" s="5">
        <f t="shared" ref="O10:S10" si="7">N10</f>
        <v>0.62309511903467796</v>
      </c>
      <c r="P10" s="5">
        <f t="shared" si="7"/>
        <v>0.62309511903467796</v>
      </c>
      <c r="Q10" s="5">
        <f t="shared" si="7"/>
        <v>0.62309511903467796</v>
      </c>
      <c r="R10" s="5">
        <f t="shared" si="7"/>
        <v>0.62309511903467796</v>
      </c>
      <c r="S10" s="5">
        <f t="shared" si="7"/>
        <v>0.62309511903467796</v>
      </c>
    </row>
    <row r="11" spans="1:19" x14ac:dyDescent="0.25">
      <c r="A11" s="6" t="s">
        <v>19</v>
      </c>
      <c r="B11" s="4">
        <v>0</v>
      </c>
      <c r="C11" s="4">
        <v>25</v>
      </c>
      <c r="D11" s="4">
        <f>+D10</f>
        <v>3.3000000000000002E-2</v>
      </c>
      <c r="E11" s="4" t="s">
        <v>12</v>
      </c>
      <c r="F11" s="4">
        <v>2</v>
      </c>
      <c r="G11" s="4">
        <v>0.5</v>
      </c>
      <c r="H11" s="5">
        <f>2*I11</f>
        <v>11.8723774323296</v>
      </c>
      <c r="I11" s="5">
        <v>5.9361887161647999</v>
      </c>
      <c r="J11" s="5">
        <v>4.5655432112186096</v>
      </c>
      <c r="K11" s="5">
        <v>4.1299497771496902</v>
      </c>
      <c r="L11" s="5">
        <v>3.4904789651049</v>
      </c>
      <c r="M11" s="5">
        <v>3.4388955321230599</v>
      </c>
      <c r="N11" s="5">
        <v>3.4061441461028399</v>
      </c>
      <c r="O11" s="5">
        <f t="shared" ref="O11:S11" si="8">N11</f>
        <v>3.4061441461028399</v>
      </c>
      <c r="P11" s="5">
        <f t="shared" si="8"/>
        <v>3.4061441461028399</v>
      </c>
      <c r="Q11" s="5">
        <f t="shared" si="8"/>
        <v>3.4061441461028399</v>
      </c>
      <c r="R11" s="5">
        <f t="shared" si="8"/>
        <v>3.4061441461028399</v>
      </c>
      <c r="S11" s="5">
        <f t="shared" si="8"/>
        <v>3.4061441461028399</v>
      </c>
    </row>
    <row r="12" spans="1:19" x14ac:dyDescent="0.25">
      <c r="B12" s="8"/>
    </row>
    <row r="13" spans="1:19" x14ac:dyDescent="0.25">
      <c r="A13" s="6" t="s">
        <v>20</v>
      </c>
      <c r="B13" s="4" t="s">
        <v>12</v>
      </c>
      <c r="C13" s="4">
        <v>40</v>
      </c>
      <c r="D13" s="4"/>
      <c r="E13" s="4">
        <v>1</v>
      </c>
      <c r="F13" s="4">
        <v>8</v>
      </c>
      <c r="G13" s="4">
        <v>1</v>
      </c>
      <c r="H13" s="5">
        <f t="shared" ref="H13:I13" si="9">I13</f>
        <v>5.5367086281356199</v>
      </c>
      <c r="I13" s="5">
        <f t="shared" si="9"/>
        <v>5.5367086281356199</v>
      </c>
      <c r="J13" s="9">
        <v>5.5367086281356199</v>
      </c>
      <c r="K13" s="9">
        <f t="shared" ref="K13:S13" si="10">+J13</f>
        <v>5.5367086281356199</v>
      </c>
      <c r="L13" s="5">
        <f t="shared" si="10"/>
        <v>5.5367086281356199</v>
      </c>
      <c r="M13" s="5">
        <f t="shared" si="10"/>
        <v>5.5367086281356199</v>
      </c>
      <c r="N13" s="5">
        <f t="shared" si="10"/>
        <v>5.5367086281356199</v>
      </c>
      <c r="O13" s="5">
        <f t="shared" si="10"/>
        <v>5.5367086281356199</v>
      </c>
      <c r="P13" s="5">
        <f t="shared" si="10"/>
        <v>5.5367086281356199</v>
      </c>
      <c r="Q13" s="5">
        <f t="shared" si="10"/>
        <v>5.5367086281356199</v>
      </c>
      <c r="R13" s="5">
        <f t="shared" si="10"/>
        <v>5.5367086281356199</v>
      </c>
      <c r="S13" s="5">
        <f t="shared" si="10"/>
        <v>5.5367086281356199</v>
      </c>
    </row>
    <row r="14" spans="1:19" x14ac:dyDescent="0.25">
      <c r="A14" s="10"/>
      <c r="B14" s="10"/>
      <c r="C14" s="10"/>
      <c r="E14" s="11"/>
    </row>
    <row r="15" spans="1:19" x14ac:dyDescent="0.25">
      <c r="A15" s="12" t="s">
        <v>21</v>
      </c>
      <c r="B15" s="4" t="s">
        <v>12</v>
      </c>
      <c r="C15" s="4">
        <v>25</v>
      </c>
      <c r="D15" s="4"/>
      <c r="E15" s="13">
        <v>1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25">
      <c r="A16" s="15" t="s">
        <v>22</v>
      </c>
      <c r="B16" s="4" t="s">
        <v>12</v>
      </c>
      <c r="C16" s="16">
        <v>25</v>
      </c>
      <c r="D16" s="4"/>
      <c r="E16" s="13">
        <v>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x14ac:dyDescent="0.25">
      <c r="A17" s="15" t="s">
        <v>23</v>
      </c>
      <c r="B17" s="4" t="s">
        <v>12</v>
      </c>
      <c r="C17" s="4">
        <v>30</v>
      </c>
      <c r="D17" s="4"/>
      <c r="E17" s="13">
        <v>1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20" spans="1:19" x14ac:dyDescent="0.25">
      <c r="A20" s="6" t="s">
        <v>24</v>
      </c>
      <c r="B20" s="14"/>
      <c r="C20" s="13">
        <v>40</v>
      </c>
    </row>
    <row r="21" spans="1:19" ht="15.75" customHeight="1" x14ac:dyDescent="0.25">
      <c r="A21" s="6" t="s">
        <v>25</v>
      </c>
      <c r="B21" s="14"/>
      <c r="C21" s="13">
        <v>40</v>
      </c>
    </row>
    <row r="22" spans="1:19" ht="15.75" customHeight="1" x14ac:dyDescent="0.25">
      <c r="A22" s="6" t="s">
        <v>26</v>
      </c>
      <c r="B22" s="14"/>
      <c r="C22" s="17">
        <v>5</v>
      </c>
    </row>
    <row r="23" spans="1:19" ht="15.75" customHeight="1" x14ac:dyDescent="0.25">
      <c r="C23" s="18"/>
    </row>
    <row r="24" spans="1:19" ht="15.75" customHeight="1" x14ac:dyDescent="0.25">
      <c r="A24" s="19" t="s">
        <v>27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9" ht="15.75" customHeight="1" x14ac:dyDescent="0.25">
      <c r="A25" s="6" t="s">
        <v>28</v>
      </c>
      <c r="B25" s="13">
        <v>0</v>
      </c>
      <c r="C25" s="13">
        <v>0.1</v>
      </c>
      <c r="D25" s="13">
        <v>0.2</v>
      </c>
      <c r="E25" s="13">
        <v>0.3</v>
      </c>
      <c r="F25" s="13">
        <v>0.4</v>
      </c>
      <c r="G25" s="13">
        <v>0.5</v>
      </c>
      <c r="H25" s="13">
        <v>0.6</v>
      </c>
      <c r="I25" s="13">
        <v>0.7</v>
      </c>
      <c r="J25" s="13">
        <v>0.8</v>
      </c>
      <c r="K25" s="13">
        <v>0.9</v>
      </c>
      <c r="L25" s="13">
        <v>1</v>
      </c>
    </row>
    <row r="26" spans="1:19" ht="15.75" customHeight="1" x14ac:dyDescent="0.25">
      <c r="A26" s="6" t="s">
        <v>29</v>
      </c>
      <c r="B26" s="21">
        <v>0</v>
      </c>
      <c r="C26" s="21">
        <v>1.51646113638564</v>
      </c>
      <c r="D26" s="21">
        <v>3.0329222727712701</v>
      </c>
      <c r="E26" s="21">
        <v>4.5493834091569099</v>
      </c>
      <c r="F26" s="21">
        <v>4.5493834091569099</v>
      </c>
      <c r="G26" s="21">
        <v>4.5493834091569099</v>
      </c>
      <c r="H26" s="21">
        <v>4.5493834091569099</v>
      </c>
      <c r="I26" s="21">
        <v>4.5493834091569099</v>
      </c>
      <c r="J26" s="21">
        <v>4.5493834091569099</v>
      </c>
      <c r="K26" s="21">
        <v>4.5493834091569099</v>
      </c>
      <c r="L26" s="21">
        <v>4.5493834091569099</v>
      </c>
    </row>
    <row r="27" spans="1:19" ht="15.75" customHeight="1" x14ac:dyDescent="0.25"/>
    <row r="28" spans="1:19" ht="15.75" customHeight="1" x14ac:dyDescent="0.25">
      <c r="A28" s="22" t="s">
        <v>30</v>
      </c>
    </row>
    <row r="29" spans="1:19" ht="15.75" customHeight="1" x14ac:dyDescent="0.25">
      <c r="A29" s="6" t="s">
        <v>31</v>
      </c>
      <c r="B29" s="14" t="s">
        <v>8</v>
      </c>
      <c r="C29" s="9">
        <f>1/3</f>
        <v>0.33333333333333331</v>
      </c>
      <c r="E29" s="19" t="s">
        <v>32</v>
      </c>
    </row>
    <row r="30" spans="1:19" ht="15.75" customHeight="1" x14ac:dyDescent="0.25">
      <c r="A30" s="6" t="s">
        <v>33</v>
      </c>
      <c r="B30" s="14" t="s">
        <v>8</v>
      </c>
      <c r="C30" s="14">
        <v>0.55000000000000004</v>
      </c>
      <c r="E30" s="6" t="s">
        <v>34</v>
      </c>
      <c r="F30" s="14" t="s">
        <v>8</v>
      </c>
      <c r="G30" s="17">
        <v>5</v>
      </c>
      <c r="H30" s="23"/>
    </row>
    <row r="31" spans="1:19" ht="15.75" customHeight="1" x14ac:dyDescent="0.25">
      <c r="A31" s="6" t="s">
        <v>35</v>
      </c>
      <c r="B31" s="14" t="s">
        <v>8</v>
      </c>
      <c r="C31" s="14">
        <v>0.35</v>
      </c>
      <c r="E31" s="6" t="s">
        <v>36</v>
      </c>
      <c r="F31" s="14" t="s">
        <v>8</v>
      </c>
      <c r="G31" s="17">
        <v>0.75</v>
      </c>
    </row>
    <row r="32" spans="1:19" ht="15.75" customHeight="1" x14ac:dyDescent="0.25">
      <c r="A32" s="6" t="s">
        <v>37</v>
      </c>
      <c r="B32" s="14" t="s">
        <v>8</v>
      </c>
      <c r="C32" s="14">
        <v>0.31</v>
      </c>
      <c r="E32" s="19" t="s">
        <v>38</v>
      </c>
    </row>
    <row r="33" spans="1:7" ht="15.75" customHeight="1" x14ac:dyDescent="0.25">
      <c r="A33" s="6" t="s">
        <v>39</v>
      </c>
      <c r="B33" s="14" t="s">
        <v>8</v>
      </c>
      <c r="C33" s="14">
        <v>0.52</v>
      </c>
      <c r="E33" s="6" t="s">
        <v>40</v>
      </c>
      <c r="F33" s="14" t="s">
        <v>41</v>
      </c>
      <c r="G33" s="24">
        <v>138024</v>
      </c>
    </row>
    <row r="34" spans="1:7" ht="15.75" customHeight="1" x14ac:dyDescent="0.25">
      <c r="A34" s="6" t="s">
        <v>42</v>
      </c>
      <c r="B34" s="14" t="s">
        <v>8</v>
      </c>
      <c r="C34" s="14">
        <v>1</v>
      </c>
      <c r="E34" s="6" t="s">
        <v>43</v>
      </c>
      <c r="F34" s="14" t="s">
        <v>44</v>
      </c>
      <c r="G34" s="17">
        <v>80</v>
      </c>
    </row>
    <row r="35" spans="1:7" ht="15.75" customHeight="1" x14ac:dyDescent="0.25">
      <c r="A35" s="6" t="s">
        <v>45</v>
      </c>
      <c r="B35" s="14" t="s">
        <v>8</v>
      </c>
      <c r="C35" s="17">
        <v>0.69605610177161703</v>
      </c>
      <c r="E35" s="6" t="s">
        <v>46</v>
      </c>
      <c r="F35" s="14" t="s">
        <v>8</v>
      </c>
      <c r="G35" s="17">
        <v>0.9</v>
      </c>
    </row>
    <row r="36" spans="1:7" ht="15.75" customHeight="1" x14ac:dyDescent="0.25">
      <c r="A36" s="6" t="s">
        <v>47</v>
      </c>
      <c r="B36" s="14" t="s">
        <v>8</v>
      </c>
      <c r="C36" s="14">
        <v>0.05</v>
      </c>
    </row>
    <row r="37" spans="1:7" ht="15.75" customHeight="1" x14ac:dyDescent="0.25">
      <c r="A37" s="6" t="s">
        <v>48</v>
      </c>
      <c r="B37" s="14" t="s">
        <v>8</v>
      </c>
      <c r="C37" s="14">
        <v>0.15</v>
      </c>
      <c r="E37" s="6" t="s">
        <v>49</v>
      </c>
      <c r="F37" s="14" t="s">
        <v>8</v>
      </c>
      <c r="G37" s="17">
        <f>0.15+0.22</f>
        <v>0.37</v>
      </c>
    </row>
    <row r="38" spans="1:7" ht="15.75" customHeight="1" x14ac:dyDescent="0.25">
      <c r="A38" s="6" t="s">
        <v>50</v>
      </c>
      <c r="B38" s="14" t="s">
        <v>8</v>
      </c>
      <c r="C38" s="17">
        <v>0.33333333329999998</v>
      </c>
    </row>
    <row r="39" spans="1:7" ht="15.75" customHeight="1" x14ac:dyDescent="0.25">
      <c r="A39" s="6" t="s">
        <v>51</v>
      </c>
      <c r="B39" s="14" t="s">
        <v>8</v>
      </c>
      <c r="C39" s="14">
        <v>0.6</v>
      </c>
    </row>
    <row r="40" spans="1:7" ht="15.75" customHeight="1" x14ac:dyDescent="0.25"/>
    <row r="41" spans="1:7" ht="15.75" customHeight="1" x14ac:dyDescent="0.25">
      <c r="A41" s="22" t="s">
        <v>52</v>
      </c>
    </row>
    <row r="42" spans="1:7" ht="15.75" customHeight="1" x14ac:dyDescent="0.25">
      <c r="A42" s="15" t="s">
        <v>53</v>
      </c>
      <c r="B42" s="14" t="s">
        <v>8</v>
      </c>
      <c r="C42" s="14">
        <v>9.5000000000000001E-2</v>
      </c>
    </row>
    <row r="43" spans="1:7" ht="15.75" customHeight="1" x14ac:dyDescent="0.25"/>
    <row r="44" spans="1:7" ht="15.75" customHeight="1" x14ac:dyDescent="0.25">
      <c r="A44" s="19" t="s">
        <v>54</v>
      </c>
      <c r="E44" s="296" t="s">
        <v>55</v>
      </c>
      <c r="F44" s="294"/>
      <c r="G44" s="295"/>
    </row>
    <row r="45" spans="1:7" ht="15.75" customHeight="1" x14ac:dyDescent="0.25">
      <c r="A45" s="6" t="s">
        <v>56</v>
      </c>
      <c r="B45" s="14" t="s">
        <v>8</v>
      </c>
      <c r="C45" s="14">
        <v>0.15</v>
      </c>
      <c r="E45" s="6" t="s">
        <v>57</v>
      </c>
      <c r="F45" s="14" t="s">
        <v>8</v>
      </c>
      <c r="G45" s="14">
        <v>75</v>
      </c>
    </row>
    <row r="46" spans="1:7" ht="15.75" customHeight="1" x14ac:dyDescent="0.25">
      <c r="A46" s="6" t="s">
        <v>58</v>
      </c>
      <c r="B46" s="14" t="s">
        <v>59</v>
      </c>
      <c r="C46" s="14">
        <v>14.3</v>
      </c>
      <c r="E46" s="6" t="s">
        <v>60</v>
      </c>
      <c r="F46" s="14" t="s">
        <v>8</v>
      </c>
      <c r="G46" s="14">
        <v>15</v>
      </c>
    </row>
    <row r="47" spans="1:7" ht="15.75" customHeight="1" x14ac:dyDescent="0.25">
      <c r="A47" s="6" t="s">
        <v>61</v>
      </c>
      <c r="B47" s="14" t="s">
        <v>62</v>
      </c>
      <c r="C47" s="14">
        <v>4.9000000000000002E-2</v>
      </c>
      <c r="E47" s="6" t="s">
        <v>63</v>
      </c>
      <c r="F47" s="14" t="s">
        <v>8</v>
      </c>
      <c r="G47" s="14">
        <v>5</v>
      </c>
    </row>
    <row r="48" spans="1:7" ht="15.75" customHeight="1" x14ac:dyDescent="0.25">
      <c r="A48" s="6" t="s">
        <v>64</v>
      </c>
      <c r="B48" s="14" t="s">
        <v>62</v>
      </c>
      <c r="C48" s="14">
        <v>1.06E-2</v>
      </c>
    </row>
    <row r="49" spans="1:3" ht="15.75" customHeight="1" x14ac:dyDescent="0.25"/>
    <row r="50" spans="1:3" ht="15.75" customHeight="1" x14ac:dyDescent="0.25">
      <c r="A50" s="22" t="s">
        <v>65</v>
      </c>
    </row>
    <row r="51" spans="1:3" ht="15.75" customHeight="1" x14ac:dyDescent="0.25">
      <c r="A51" s="6" t="s">
        <v>66</v>
      </c>
      <c r="B51" s="14" t="s">
        <v>67</v>
      </c>
      <c r="C51" s="14">
        <v>238.32929015926601</v>
      </c>
    </row>
    <row r="52" spans="1:3" ht="15.75" customHeight="1" x14ac:dyDescent="0.25">
      <c r="A52" s="6" t="s">
        <v>68</v>
      </c>
      <c r="B52" s="14" t="s">
        <v>8</v>
      </c>
      <c r="C52" s="14">
        <v>2.7E-2</v>
      </c>
    </row>
    <row r="53" spans="1:3" ht="15.75" customHeight="1" x14ac:dyDescent="0.25">
      <c r="A53" s="6" t="s">
        <v>69</v>
      </c>
      <c r="B53" s="14" t="s">
        <v>8</v>
      </c>
      <c r="C53" s="14">
        <v>6.1499999999999999E-2</v>
      </c>
    </row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H2:S2"/>
    <mergeCell ref="E44:G44"/>
  </mergeCell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A2:AH1000"/>
  <sheetViews>
    <sheetView topLeftCell="A37" workbookViewId="0">
      <selection activeCell="A201" sqref="A201"/>
    </sheetView>
  </sheetViews>
  <sheetFormatPr baseColWidth="10" defaultColWidth="14.42578125" defaultRowHeight="15" customHeight="1" x14ac:dyDescent="0.25"/>
  <cols>
    <col min="1" max="1" width="44.42578125" customWidth="1"/>
    <col min="2" max="2" width="32.42578125" customWidth="1"/>
    <col min="3" max="3" width="12" customWidth="1"/>
    <col min="4" max="4" width="15.42578125" customWidth="1"/>
    <col min="5" max="5" width="39.7109375" customWidth="1"/>
    <col min="6" max="6" width="24.28515625" customWidth="1"/>
    <col min="7" max="7" width="25.7109375" customWidth="1"/>
    <col min="8" max="8" width="13.7109375" customWidth="1"/>
    <col min="9" max="9" width="13.42578125" customWidth="1"/>
    <col min="10" max="17" width="14.42578125" customWidth="1"/>
    <col min="18" max="18" width="10.7109375" customWidth="1"/>
    <col min="19" max="20" width="17.7109375" customWidth="1"/>
    <col min="21" max="21" width="16.7109375" customWidth="1"/>
    <col min="22" max="23" width="13.42578125" customWidth="1"/>
    <col min="24" max="24" width="11.85546875" customWidth="1"/>
    <col min="25" max="25" width="10.7109375" customWidth="1"/>
    <col min="26" max="26" width="21.85546875" customWidth="1"/>
    <col min="27" max="34" width="10.7109375" customWidth="1"/>
  </cols>
  <sheetData>
    <row r="2" spans="1:34" x14ac:dyDescent="0.25">
      <c r="A2" s="22" t="s">
        <v>0</v>
      </c>
      <c r="B2" s="1" t="s">
        <v>70</v>
      </c>
      <c r="C2" s="1" t="s">
        <v>71</v>
      </c>
      <c r="E2" s="11"/>
      <c r="U2" s="11"/>
      <c r="V2" s="11"/>
      <c r="X2" s="11"/>
    </row>
    <row r="3" spans="1:34" x14ac:dyDescent="0.25">
      <c r="A3" s="1"/>
      <c r="B3" s="25" t="s">
        <v>8</v>
      </c>
      <c r="C3" s="25" t="s">
        <v>8</v>
      </c>
      <c r="E3" s="11"/>
      <c r="U3" s="11"/>
      <c r="V3" s="11"/>
      <c r="X3" s="11"/>
    </row>
    <row r="4" spans="1:34" x14ac:dyDescent="0.25">
      <c r="A4" s="2" t="s">
        <v>11</v>
      </c>
      <c r="B4" s="3">
        <f>B5</f>
        <v>0.15</v>
      </c>
      <c r="C4" s="26">
        <v>0.42302360615086498</v>
      </c>
      <c r="E4" s="8"/>
      <c r="U4" s="27"/>
      <c r="X4" s="28"/>
    </row>
    <row r="5" spans="1:34" x14ac:dyDescent="0.25">
      <c r="A5" s="6" t="s">
        <v>13</v>
      </c>
      <c r="B5" s="4">
        <v>0.15</v>
      </c>
      <c r="C5" s="29">
        <v>0.65</v>
      </c>
      <c r="E5" s="8"/>
      <c r="F5" s="30"/>
      <c r="U5" s="8"/>
      <c r="X5" s="31"/>
    </row>
    <row r="6" spans="1:34" x14ac:dyDescent="0.25">
      <c r="A6" s="6" t="s">
        <v>14</v>
      </c>
      <c r="B6" s="4">
        <f t="shared" ref="B6:B7" si="0">B5</f>
        <v>0.15</v>
      </c>
      <c r="C6" s="29">
        <v>0.5</v>
      </c>
      <c r="E6" s="8"/>
      <c r="U6" s="8"/>
      <c r="X6" s="31"/>
    </row>
    <row r="7" spans="1:34" x14ac:dyDescent="0.25">
      <c r="A7" s="6" t="s">
        <v>15</v>
      </c>
      <c r="B7" s="4">
        <f t="shared" si="0"/>
        <v>0.15</v>
      </c>
      <c r="C7" s="29">
        <v>0.2</v>
      </c>
      <c r="E7" s="8"/>
      <c r="U7" s="8"/>
      <c r="X7" s="31"/>
    </row>
    <row r="8" spans="1:34" x14ac:dyDescent="0.25">
      <c r="A8" s="6" t="s">
        <v>16</v>
      </c>
      <c r="B8" s="4">
        <f t="shared" ref="B8:B11" si="1">C8/4</f>
        <v>5.2499999999999998E-2</v>
      </c>
      <c r="C8" s="29">
        <v>0.21</v>
      </c>
      <c r="E8" s="8"/>
      <c r="U8" s="8"/>
      <c r="X8" s="31"/>
    </row>
    <row r="9" spans="1:34" x14ac:dyDescent="0.25">
      <c r="A9" s="6" t="s">
        <v>17</v>
      </c>
      <c r="B9" s="4">
        <f t="shared" si="1"/>
        <v>7.8750000000000001E-2</v>
      </c>
      <c r="C9" s="29">
        <v>0.315</v>
      </c>
      <c r="E9" s="8"/>
      <c r="U9" s="8"/>
      <c r="X9" s="31"/>
    </row>
    <row r="10" spans="1:34" x14ac:dyDescent="0.25">
      <c r="A10" s="6" t="s">
        <v>18</v>
      </c>
      <c r="B10" s="4">
        <f t="shared" si="1"/>
        <v>3.7499999999999999E-2</v>
      </c>
      <c r="C10" s="29">
        <v>0.15</v>
      </c>
      <c r="E10" s="8"/>
      <c r="U10" s="8"/>
      <c r="X10" s="31"/>
    </row>
    <row r="11" spans="1:34" x14ac:dyDescent="0.25">
      <c r="A11" s="6" t="s">
        <v>19</v>
      </c>
      <c r="B11" s="32">
        <f t="shared" si="1"/>
        <v>6.25E-2</v>
      </c>
      <c r="C11" s="33">
        <v>0.25</v>
      </c>
      <c r="E11" s="8"/>
      <c r="U11" s="8"/>
      <c r="X11" s="31"/>
    </row>
    <row r="12" spans="1:34" x14ac:dyDescent="0.25">
      <c r="A12" s="34"/>
      <c r="B12" s="35"/>
      <c r="C12" s="35"/>
      <c r="E12" s="8"/>
      <c r="U12" s="8"/>
      <c r="X12" s="31"/>
    </row>
    <row r="13" spans="1:34" x14ac:dyDescent="0.25">
      <c r="A13" s="36" t="s">
        <v>20</v>
      </c>
      <c r="B13" s="37">
        <v>0.6</v>
      </c>
      <c r="C13" s="38">
        <v>0.76519999999999999</v>
      </c>
      <c r="D13" s="8"/>
      <c r="E13" s="8"/>
      <c r="U13" s="8"/>
      <c r="X13" s="31"/>
    </row>
    <row r="14" spans="1:34" x14ac:dyDescent="0.25">
      <c r="A14" s="39"/>
      <c r="B14" s="39"/>
      <c r="C14" s="3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x14ac:dyDescent="0.25">
      <c r="A15" s="40" t="s">
        <v>21</v>
      </c>
      <c r="B15" s="41"/>
      <c r="C15" s="4">
        <v>1</v>
      </c>
      <c r="D15" s="8"/>
      <c r="E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8"/>
      <c r="T15" s="8"/>
      <c r="U15" s="42"/>
      <c r="V15" s="42"/>
      <c r="X15" s="42"/>
    </row>
    <row r="16" spans="1:34" x14ac:dyDescent="0.25">
      <c r="A16" s="12" t="s">
        <v>22</v>
      </c>
      <c r="B16" s="41"/>
      <c r="C16" s="4">
        <v>0.26500000000000001</v>
      </c>
      <c r="D16" s="8"/>
      <c r="E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8"/>
      <c r="T16" s="8"/>
      <c r="U16" s="42"/>
      <c r="V16" s="42"/>
      <c r="X16" s="42"/>
    </row>
    <row r="17" spans="1:24" x14ac:dyDescent="0.25">
      <c r="A17" s="12" t="s">
        <v>23</v>
      </c>
      <c r="B17" s="41"/>
      <c r="C17" s="4">
        <v>0.5</v>
      </c>
      <c r="D17" s="8"/>
      <c r="E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8"/>
      <c r="T17" s="8"/>
      <c r="U17" s="42"/>
      <c r="V17" s="42"/>
      <c r="X17" s="42"/>
    </row>
    <row r="20" spans="1:24" x14ac:dyDescent="0.25">
      <c r="A20" s="22" t="s">
        <v>72</v>
      </c>
      <c r="B20" s="14">
        <v>0</v>
      </c>
      <c r="C20" s="14">
        <f t="shared" ref="C20:O20" si="2">1+B20</f>
        <v>1</v>
      </c>
      <c r="D20" s="14">
        <f t="shared" si="2"/>
        <v>2</v>
      </c>
      <c r="E20" s="14">
        <f t="shared" si="2"/>
        <v>3</v>
      </c>
      <c r="F20" s="14">
        <f t="shared" si="2"/>
        <v>4</v>
      </c>
      <c r="G20" s="14">
        <f t="shared" si="2"/>
        <v>5</v>
      </c>
      <c r="H20" s="14">
        <f t="shared" si="2"/>
        <v>6</v>
      </c>
      <c r="I20" s="14">
        <f t="shared" si="2"/>
        <v>7</v>
      </c>
      <c r="J20" s="14">
        <f t="shared" si="2"/>
        <v>8</v>
      </c>
      <c r="K20" s="14">
        <f t="shared" si="2"/>
        <v>9</v>
      </c>
      <c r="L20" s="14">
        <f t="shared" si="2"/>
        <v>10</v>
      </c>
      <c r="M20" s="14">
        <f t="shared" si="2"/>
        <v>11</v>
      </c>
      <c r="N20" s="14">
        <f t="shared" si="2"/>
        <v>12</v>
      </c>
      <c r="O20" s="14">
        <f t="shared" si="2"/>
        <v>13</v>
      </c>
      <c r="P20" s="14">
        <v>14</v>
      </c>
    </row>
    <row r="21" spans="1:24" ht="15.75" customHeight="1" x14ac:dyDescent="0.25">
      <c r="A21" s="6" t="s">
        <v>73</v>
      </c>
      <c r="B21" s="14">
        <v>846.58259448714705</v>
      </c>
      <c r="C21" s="14">
        <v>1810.3039684919499</v>
      </c>
      <c r="D21" s="14">
        <v>2851.4579478236501</v>
      </c>
      <c r="E21" s="14">
        <v>1759.0104688962001</v>
      </c>
      <c r="F21" s="14">
        <v>3204.9937558820702</v>
      </c>
      <c r="G21" s="14">
        <v>6015.6418527690703</v>
      </c>
      <c r="H21" s="14">
        <v>9035.1783584483292</v>
      </c>
      <c r="I21" s="14">
        <v>11752.6029211075</v>
      </c>
      <c r="J21" s="14">
        <v>5450.9415771512504</v>
      </c>
      <c r="K21" s="14">
        <v>7699.6114069983296</v>
      </c>
      <c r="L21" s="14">
        <v>1558.1122306438299</v>
      </c>
      <c r="M21" s="14">
        <v>1115.6669552359399</v>
      </c>
      <c r="N21" s="14">
        <v>4982.0028234152496</v>
      </c>
      <c r="O21" s="14">
        <v>6947.0421640219702</v>
      </c>
      <c r="P21" s="14">
        <v>0</v>
      </c>
    </row>
    <row r="22" spans="1:24" ht="15.75" customHeight="1" x14ac:dyDescent="0.25">
      <c r="A22" s="297"/>
      <c r="B22" s="298"/>
      <c r="C22" s="298"/>
    </row>
    <row r="23" spans="1:24" ht="15.75" customHeight="1" x14ac:dyDescent="0.25">
      <c r="A23" s="299"/>
      <c r="B23" s="298"/>
      <c r="C23" s="298"/>
    </row>
    <row r="24" spans="1:24" ht="15.75" customHeight="1" x14ac:dyDescent="0.25">
      <c r="A24" s="300" t="s">
        <v>30</v>
      </c>
      <c r="B24" s="301"/>
      <c r="C24" s="302"/>
      <c r="L24" s="44"/>
    </row>
    <row r="25" spans="1:24" ht="15.75" customHeight="1" x14ac:dyDescent="0.25">
      <c r="A25" s="6" t="s">
        <v>74</v>
      </c>
      <c r="B25" s="14" t="s">
        <v>8</v>
      </c>
      <c r="C25" s="14">
        <v>0.36099999999999999</v>
      </c>
      <c r="L25" s="44"/>
    </row>
    <row r="26" spans="1:24" ht="15.75" customHeight="1" x14ac:dyDescent="0.25">
      <c r="A26" s="6" t="s">
        <v>75</v>
      </c>
      <c r="B26" s="14" t="s">
        <v>8</v>
      </c>
      <c r="C26" s="14">
        <v>0.35299999999999998</v>
      </c>
      <c r="E26" s="6" t="s">
        <v>76</v>
      </c>
      <c r="F26" s="14" t="s">
        <v>8</v>
      </c>
      <c r="G26" s="17">
        <v>0.9</v>
      </c>
      <c r="L26" s="44"/>
    </row>
    <row r="27" spans="1:24" ht="15.75" customHeight="1" x14ac:dyDescent="0.25">
      <c r="A27" s="303" t="s">
        <v>77</v>
      </c>
      <c r="B27" s="294"/>
      <c r="C27" s="295"/>
      <c r="E27" s="6" t="s">
        <v>78</v>
      </c>
      <c r="F27" s="14" t="s">
        <v>8</v>
      </c>
      <c r="G27" s="17">
        <v>9.5000000000000001E-2</v>
      </c>
      <c r="L27" s="45"/>
    </row>
    <row r="28" spans="1:24" ht="15.75" customHeight="1" x14ac:dyDescent="0.25">
      <c r="A28" s="6" t="s">
        <v>79</v>
      </c>
      <c r="B28" s="14" t="s">
        <v>80</v>
      </c>
      <c r="C28" s="14">
        <v>39.625999999999998</v>
      </c>
      <c r="E28" s="303" t="s">
        <v>32</v>
      </c>
      <c r="F28" s="294"/>
      <c r="G28" s="295"/>
      <c r="H28" s="297"/>
      <c r="I28" s="298"/>
      <c r="J28" s="298"/>
      <c r="L28" s="45"/>
    </row>
    <row r="29" spans="1:24" ht="15.75" customHeight="1" x14ac:dyDescent="0.25">
      <c r="A29" s="6" t="s">
        <v>81</v>
      </c>
      <c r="B29" s="14" t="s">
        <v>82</v>
      </c>
      <c r="C29" s="14">
        <v>27</v>
      </c>
      <c r="E29" s="6" t="s">
        <v>83</v>
      </c>
      <c r="F29" s="14" t="s">
        <v>8</v>
      </c>
      <c r="G29" s="17">
        <v>0.1</v>
      </c>
    </row>
    <row r="30" spans="1:24" ht="15.75" customHeight="1" x14ac:dyDescent="0.25">
      <c r="A30" s="303" t="s">
        <v>84</v>
      </c>
      <c r="B30" s="294"/>
      <c r="C30" s="295"/>
      <c r="E30" s="303" t="s">
        <v>85</v>
      </c>
      <c r="F30" s="294"/>
      <c r="G30" s="295"/>
    </row>
    <row r="31" spans="1:24" ht="15.75" customHeight="1" x14ac:dyDescent="0.25">
      <c r="A31" s="6" t="s">
        <v>86</v>
      </c>
      <c r="B31" s="14" t="s">
        <v>8</v>
      </c>
      <c r="C31" s="41">
        <v>0.244478293983244</v>
      </c>
      <c r="E31" s="6" t="s">
        <v>87</v>
      </c>
      <c r="F31" s="14" t="s">
        <v>8</v>
      </c>
      <c r="G31" s="17">
        <v>9.1508444753802206E-6</v>
      </c>
    </row>
    <row r="32" spans="1:24" ht="15.75" customHeight="1" x14ac:dyDescent="0.25">
      <c r="A32" s="6" t="s">
        <v>88</v>
      </c>
      <c r="B32" s="14" t="s">
        <v>8</v>
      </c>
      <c r="C32" s="41">
        <v>0.76834862385321101</v>
      </c>
      <c r="E32" s="303" t="s">
        <v>89</v>
      </c>
      <c r="F32" s="294"/>
      <c r="G32" s="295"/>
      <c r="L32" s="43"/>
    </row>
    <row r="33" spans="1:34" ht="15.75" customHeight="1" x14ac:dyDescent="0.25">
      <c r="A33" s="6" t="s">
        <v>90</v>
      </c>
      <c r="B33" s="14" t="s">
        <v>8</v>
      </c>
      <c r="C33" s="41">
        <v>0.392710023717389</v>
      </c>
      <c r="E33" s="6" t="s">
        <v>91</v>
      </c>
      <c r="F33" s="14" t="s">
        <v>8</v>
      </c>
      <c r="G33" s="17">
        <v>0.37669999999999998</v>
      </c>
      <c r="L33" s="43"/>
    </row>
    <row r="34" spans="1:34" ht="15.75" customHeight="1" x14ac:dyDescent="0.25">
      <c r="A34" s="6" t="s">
        <v>92</v>
      </c>
      <c r="B34" s="14" t="s">
        <v>8</v>
      </c>
      <c r="C34" s="41">
        <v>0.13480214704780899</v>
      </c>
      <c r="L34" s="43"/>
    </row>
    <row r="35" spans="1:34" ht="15.75" customHeight="1" x14ac:dyDescent="0.25">
      <c r="C35" s="42"/>
      <c r="L35" s="43"/>
    </row>
    <row r="36" spans="1:34" ht="15.75" customHeight="1" x14ac:dyDescent="0.25">
      <c r="A36" s="303" t="s">
        <v>93</v>
      </c>
      <c r="B36" s="294"/>
      <c r="C36" s="295"/>
      <c r="E36" s="304" t="s">
        <v>94</v>
      </c>
      <c r="F36" s="294"/>
      <c r="G36" s="295"/>
    </row>
    <row r="37" spans="1:34" ht="15.75" customHeight="1" x14ac:dyDescent="0.25">
      <c r="A37" s="6" t="s">
        <v>95</v>
      </c>
      <c r="B37" s="14" t="s">
        <v>8</v>
      </c>
      <c r="C37" s="14">
        <v>9.0505873210581997E-2</v>
      </c>
      <c r="E37" s="6" t="s">
        <v>96</v>
      </c>
      <c r="F37" s="14" t="s">
        <v>8</v>
      </c>
      <c r="G37" s="14">
        <v>7.3845198145614096E-3</v>
      </c>
    </row>
    <row r="38" spans="1:34" ht="15.75" customHeight="1" x14ac:dyDescent="0.25">
      <c r="A38" s="6" t="s">
        <v>97</v>
      </c>
      <c r="B38" s="14" t="s">
        <v>8</v>
      </c>
      <c r="C38" s="14">
        <v>0.39937684180874999</v>
      </c>
      <c r="E38" s="6" t="s">
        <v>98</v>
      </c>
      <c r="F38" s="14" t="s">
        <v>8</v>
      </c>
      <c r="G38" s="14">
        <v>0.34932337340295699</v>
      </c>
    </row>
    <row r="39" spans="1:34" ht="15.75" customHeight="1" x14ac:dyDescent="0.25">
      <c r="A39" s="6" t="s">
        <v>99</v>
      </c>
      <c r="B39" s="14" t="s">
        <v>8</v>
      </c>
      <c r="C39" s="14">
        <v>0.31858724855960702</v>
      </c>
      <c r="E39" s="6" t="s">
        <v>100</v>
      </c>
      <c r="F39" s="14" t="s">
        <v>8</v>
      </c>
      <c r="G39" s="14">
        <v>0.23346908054458201</v>
      </c>
    </row>
    <row r="40" spans="1:34" ht="15.75" customHeight="1" x14ac:dyDescent="0.25">
      <c r="A40" s="6" t="s">
        <v>101</v>
      </c>
      <c r="B40" s="14" t="s">
        <v>8</v>
      </c>
      <c r="C40" s="14">
        <v>0.19153003642106201</v>
      </c>
      <c r="E40" s="6" t="s">
        <v>102</v>
      </c>
      <c r="F40" s="14" t="s">
        <v>8</v>
      </c>
      <c r="G40" s="14">
        <v>0.40982302623790001</v>
      </c>
    </row>
    <row r="41" spans="1:34" ht="15.75" customHeight="1" x14ac:dyDescent="0.25">
      <c r="A41" s="6" t="s">
        <v>103</v>
      </c>
      <c r="B41" s="14" t="s">
        <v>8</v>
      </c>
      <c r="C41" s="14">
        <v>0.70666608812680898</v>
      </c>
      <c r="E41" s="6" t="s">
        <v>104</v>
      </c>
      <c r="F41" s="14" t="s">
        <v>8</v>
      </c>
      <c r="G41" s="14">
        <v>0.73570165231457696</v>
      </c>
    </row>
    <row r="42" spans="1:34" ht="15.75" customHeight="1" x14ac:dyDescent="0.25">
      <c r="A42" s="6" t="s">
        <v>105</v>
      </c>
      <c r="B42" s="14" t="s">
        <v>8</v>
      </c>
      <c r="C42" s="14">
        <v>0.24469672999410899</v>
      </c>
      <c r="E42" s="6" t="s">
        <v>106</v>
      </c>
      <c r="F42" s="14" t="s">
        <v>8</v>
      </c>
      <c r="G42" s="46">
        <v>0.29585066538416999</v>
      </c>
      <c r="Y42" s="45"/>
    </row>
    <row r="43" spans="1:34" ht="15.75" customHeight="1" x14ac:dyDescent="0.25">
      <c r="A43" s="6" t="s">
        <v>107</v>
      </c>
      <c r="B43" s="14" t="s">
        <v>8</v>
      </c>
      <c r="C43" s="14">
        <v>0.335927926684228</v>
      </c>
      <c r="E43" s="6" t="s">
        <v>108</v>
      </c>
      <c r="F43" s="14" t="s">
        <v>8</v>
      </c>
      <c r="G43" s="14">
        <v>7.9550763275279504E-2</v>
      </c>
      <c r="Z43" s="47"/>
    </row>
    <row r="44" spans="1:34" ht="15.75" customHeight="1" x14ac:dyDescent="0.25">
      <c r="A44" s="6" t="s">
        <v>109</v>
      </c>
      <c r="B44" s="14" t="s">
        <v>8</v>
      </c>
      <c r="C44" s="14">
        <v>0.171498292350937</v>
      </c>
      <c r="E44" s="6" t="s">
        <v>110</v>
      </c>
      <c r="F44" s="14" t="s">
        <v>8</v>
      </c>
      <c r="G44" s="14">
        <v>0.39013727930443598</v>
      </c>
    </row>
    <row r="45" spans="1:34" ht="15.75" customHeight="1" x14ac:dyDescent="0.25"/>
    <row r="46" spans="1:34" ht="15.75" customHeight="1" x14ac:dyDescent="0.25"/>
    <row r="47" spans="1:34" ht="15.75" customHeight="1" x14ac:dyDescent="0.25">
      <c r="A47" s="48" t="s">
        <v>111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</row>
    <row r="48" spans="1:34" ht="15.75" customHeight="1" x14ac:dyDescent="0.25">
      <c r="A48" s="50" t="s">
        <v>0</v>
      </c>
      <c r="B48" s="51" t="s">
        <v>112</v>
      </c>
      <c r="C48" s="52" t="s">
        <v>113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3"/>
      <c r="V48" s="53"/>
      <c r="W48" s="53"/>
      <c r="X48" s="53"/>
      <c r="Y48" s="53"/>
      <c r="Z48" s="53"/>
      <c r="AA48" s="54"/>
      <c r="AB48" s="53"/>
      <c r="AC48" s="53"/>
      <c r="AD48" s="53"/>
      <c r="AE48" s="53"/>
      <c r="AF48" s="53"/>
      <c r="AG48" s="53"/>
      <c r="AH48" s="53"/>
    </row>
    <row r="49" spans="1:34" ht="15.75" customHeight="1" x14ac:dyDescent="0.25">
      <c r="A49" s="19" t="s">
        <v>114</v>
      </c>
      <c r="B49" s="55"/>
      <c r="C49" s="56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8"/>
      <c r="AE49" s="58"/>
      <c r="AF49" s="58"/>
      <c r="AG49" s="58"/>
      <c r="AH49" s="58"/>
    </row>
    <row r="50" spans="1:34" ht="15.75" customHeight="1" x14ac:dyDescent="0.25">
      <c r="A50" s="305" t="s">
        <v>115</v>
      </c>
      <c r="B50" s="307" t="s">
        <v>12</v>
      </c>
      <c r="C50" s="308">
        <v>14500</v>
      </c>
      <c r="D50" s="59" t="s">
        <v>116</v>
      </c>
      <c r="E50" s="60">
        <v>0</v>
      </c>
      <c r="F50" s="60">
        <v>500</v>
      </c>
      <c r="G50" s="60">
        <v>1000</v>
      </c>
      <c r="H50" s="60">
        <v>1500</v>
      </c>
      <c r="I50" s="60">
        <v>2000</v>
      </c>
      <c r="J50" s="60">
        <v>2500</v>
      </c>
      <c r="K50" s="60">
        <v>3000</v>
      </c>
      <c r="L50" s="60">
        <v>3500</v>
      </c>
      <c r="M50" s="60">
        <v>4000</v>
      </c>
      <c r="N50" s="60">
        <v>4500</v>
      </c>
      <c r="O50" s="60">
        <v>5000</v>
      </c>
      <c r="P50" s="60">
        <v>5500</v>
      </c>
      <c r="Q50" s="60">
        <v>6000</v>
      </c>
      <c r="R50" s="60">
        <v>6500</v>
      </c>
      <c r="S50" s="60">
        <v>7000</v>
      </c>
      <c r="T50" s="60">
        <v>7500</v>
      </c>
      <c r="U50" s="60">
        <v>8000</v>
      </c>
      <c r="V50" s="60">
        <v>8500</v>
      </c>
      <c r="W50" s="60">
        <v>9000</v>
      </c>
      <c r="X50" s="60">
        <v>9500</v>
      </c>
      <c r="Y50" s="60">
        <v>10000</v>
      </c>
      <c r="Z50" s="60">
        <v>10500</v>
      </c>
      <c r="AA50" s="61">
        <v>11000</v>
      </c>
      <c r="AB50" s="60">
        <v>11500</v>
      </c>
      <c r="AC50" s="60">
        <v>12000</v>
      </c>
      <c r="AD50" s="60">
        <v>12500</v>
      </c>
      <c r="AE50" s="60">
        <v>13000</v>
      </c>
      <c r="AF50" s="60">
        <v>13500</v>
      </c>
      <c r="AG50" s="60">
        <v>14000</v>
      </c>
      <c r="AH50" s="61">
        <v>14500</v>
      </c>
    </row>
    <row r="51" spans="1:34" ht="15.75" customHeight="1" x14ac:dyDescent="0.25">
      <c r="A51" s="306"/>
      <c r="B51" s="306"/>
      <c r="C51" s="309"/>
      <c r="D51" s="59" t="s">
        <v>117</v>
      </c>
      <c r="E51" s="62">
        <v>0</v>
      </c>
      <c r="F51" s="63">
        <v>29.4861</v>
      </c>
      <c r="G51" s="63">
        <v>56.059699999999999</v>
      </c>
      <c r="H51" s="63">
        <v>77</v>
      </c>
      <c r="I51" s="63">
        <v>94.709800000000001</v>
      </c>
      <c r="J51" s="63">
        <v>111.19799999999999</v>
      </c>
      <c r="K51" s="63">
        <v>124.131</v>
      </c>
      <c r="L51" s="63">
        <v>136.26</v>
      </c>
      <c r="M51" s="63">
        <v>147.07300000000001</v>
      </c>
      <c r="N51" s="63">
        <v>154.041</v>
      </c>
      <c r="O51" s="63">
        <v>160.5</v>
      </c>
      <c r="P51" s="63">
        <v>165.566</v>
      </c>
      <c r="Q51" s="63">
        <v>167.49600000000001</v>
      </c>
      <c r="R51" s="63">
        <v>169.17599999999999</v>
      </c>
      <c r="S51" s="63">
        <v>169.47399999999999</v>
      </c>
      <c r="T51" s="63">
        <v>169.47399999999999</v>
      </c>
      <c r="U51" s="63">
        <v>169.47399999999999</v>
      </c>
      <c r="V51" s="63">
        <v>169.47399999999999</v>
      </c>
      <c r="W51" s="63">
        <v>169.47399999999999</v>
      </c>
      <c r="X51" s="63">
        <v>169.47399999999999</v>
      </c>
      <c r="Y51" s="63">
        <v>169.47399999999999</v>
      </c>
      <c r="Z51" s="63">
        <v>169.47399999999999</v>
      </c>
      <c r="AA51" s="64">
        <v>169.47399999999999</v>
      </c>
      <c r="AB51" s="63">
        <v>169.47399999999999</v>
      </c>
      <c r="AC51" s="63">
        <v>169.47399999999999</v>
      </c>
      <c r="AD51" s="63">
        <v>169.47399999999999</v>
      </c>
      <c r="AE51" s="63">
        <v>169.47399999999999</v>
      </c>
      <c r="AF51" s="63">
        <v>169.47399999999999</v>
      </c>
      <c r="AG51" s="63">
        <v>169.47399999999999</v>
      </c>
      <c r="AH51" s="64">
        <v>169.47399999999999</v>
      </c>
    </row>
    <row r="52" spans="1:34" ht="15.75" customHeight="1" x14ac:dyDescent="0.25">
      <c r="A52" s="307" t="s">
        <v>118</v>
      </c>
      <c r="B52" s="307" t="s">
        <v>12</v>
      </c>
      <c r="C52" s="310">
        <v>10500</v>
      </c>
      <c r="D52" s="59" t="s">
        <v>116</v>
      </c>
      <c r="E52" s="65">
        <v>0</v>
      </c>
      <c r="F52" s="65">
        <v>500</v>
      </c>
      <c r="G52" s="65">
        <v>1000</v>
      </c>
      <c r="H52" s="65">
        <v>1500</v>
      </c>
      <c r="I52" s="65">
        <v>2000</v>
      </c>
      <c r="J52" s="65">
        <v>2500</v>
      </c>
      <c r="K52" s="65">
        <v>3000</v>
      </c>
      <c r="L52" s="65">
        <v>3500</v>
      </c>
      <c r="M52" s="65">
        <v>4000</v>
      </c>
      <c r="N52" s="65">
        <v>4500</v>
      </c>
      <c r="O52" s="65">
        <v>5000</v>
      </c>
      <c r="P52" s="65">
        <v>5500</v>
      </c>
      <c r="Q52" s="65">
        <v>6000</v>
      </c>
      <c r="R52" s="65">
        <v>6500</v>
      </c>
      <c r="S52" s="65">
        <v>7000</v>
      </c>
      <c r="T52" s="65">
        <v>7500</v>
      </c>
      <c r="U52" s="65">
        <v>8000</v>
      </c>
      <c r="V52" s="65">
        <v>8500</v>
      </c>
      <c r="W52" s="65">
        <v>9000</v>
      </c>
      <c r="X52" s="65">
        <v>9500</v>
      </c>
      <c r="Y52" s="65">
        <v>10000</v>
      </c>
      <c r="Z52" s="65">
        <v>10500</v>
      </c>
      <c r="AA52" s="65"/>
      <c r="AB52" s="65"/>
      <c r="AC52" s="65"/>
      <c r="AD52" s="65"/>
      <c r="AE52" s="65"/>
      <c r="AF52" s="66"/>
      <c r="AG52" s="66"/>
      <c r="AH52" s="66"/>
    </row>
    <row r="53" spans="1:34" ht="15.75" customHeight="1" x14ac:dyDescent="0.25">
      <c r="A53" s="311"/>
      <c r="B53" s="306"/>
      <c r="C53" s="312"/>
      <c r="D53" s="59" t="s">
        <v>117</v>
      </c>
      <c r="E53" s="67">
        <v>0</v>
      </c>
      <c r="F53" s="68">
        <v>11.1694</v>
      </c>
      <c r="G53" s="68">
        <v>20.726199999999999</v>
      </c>
      <c r="H53" s="68">
        <v>46.136400000000002</v>
      </c>
      <c r="I53" s="68">
        <v>67.468900000000005</v>
      </c>
      <c r="J53" s="68">
        <v>93.039400000000001</v>
      </c>
      <c r="K53" s="68">
        <v>111.958</v>
      </c>
      <c r="L53" s="68">
        <v>122.983</v>
      </c>
      <c r="M53" s="68">
        <v>129.80199999999999</v>
      </c>
      <c r="N53" s="68">
        <v>134.90600000000001</v>
      </c>
      <c r="O53" s="68">
        <v>138.73500000000001</v>
      </c>
      <c r="P53" s="68">
        <v>138.73500000000001</v>
      </c>
      <c r="Q53" s="68">
        <v>138.73500000000001</v>
      </c>
      <c r="R53" s="68">
        <v>138.73500000000001</v>
      </c>
      <c r="S53" s="68">
        <v>138.73500000000001</v>
      </c>
      <c r="T53" s="68">
        <v>138.73500000000001</v>
      </c>
      <c r="U53" s="68">
        <v>138.73500000000001</v>
      </c>
      <c r="V53" s="68">
        <v>138.73500000000001</v>
      </c>
      <c r="W53" s="68">
        <v>138.73500000000001</v>
      </c>
      <c r="X53" s="68">
        <v>138.73500000000001</v>
      </c>
      <c r="Y53" s="68">
        <v>138.73500000000001</v>
      </c>
      <c r="Z53" s="68">
        <v>138.73500000000001</v>
      </c>
      <c r="AA53" s="68"/>
      <c r="AB53" s="68"/>
      <c r="AC53" s="68"/>
      <c r="AD53" s="68"/>
      <c r="AE53" s="68"/>
      <c r="AF53" s="69"/>
      <c r="AG53" s="69"/>
      <c r="AH53" s="69"/>
    </row>
    <row r="54" spans="1:34" ht="15.75" customHeight="1" x14ac:dyDescent="0.25">
      <c r="A54" s="307" t="s">
        <v>119</v>
      </c>
      <c r="B54" s="313">
        <v>0.5</v>
      </c>
      <c r="C54" s="310">
        <v>16800</v>
      </c>
      <c r="D54" s="59" t="s">
        <v>116</v>
      </c>
      <c r="E54" s="65">
        <v>0</v>
      </c>
      <c r="F54" s="65">
        <v>600</v>
      </c>
      <c r="G54" s="65">
        <v>1200</v>
      </c>
      <c r="H54" s="65">
        <v>1800</v>
      </c>
      <c r="I54" s="65">
        <v>2400</v>
      </c>
      <c r="J54" s="65">
        <v>3000</v>
      </c>
      <c r="K54" s="65">
        <v>3600</v>
      </c>
      <c r="L54" s="65">
        <v>4200</v>
      </c>
      <c r="M54" s="65">
        <v>4800</v>
      </c>
      <c r="N54" s="65">
        <v>5400</v>
      </c>
      <c r="O54" s="65">
        <v>6000</v>
      </c>
      <c r="P54" s="65">
        <v>6600</v>
      </c>
      <c r="Q54" s="65">
        <v>7200</v>
      </c>
      <c r="R54" s="65">
        <v>7800</v>
      </c>
      <c r="S54" s="65">
        <v>8400</v>
      </c>
      <c r="T54" s="66">
        <v>9000</v>
      </c>
      <c r="U54" s="66">
        <v>9600</v>
      </c>
      <c r="V54" s="66">
        <v>10200</v>
      </c>
      <c r="W54" s="66">
        <v>10800</v>
      </c>
      <c r="X54" s="66">
        <v>11400</v>
      </c>
      <c r="Y54" s="66">
        <v>12000</v>
      </c>
      <c r="Z54" s="66">
        <v>12600</v>
      </c>
      <c r="AA54" s="66">
        <v>13200</v>
      </c>
      <c r="AB54" s="66">
        <v>13800</v>
      </c>
      <c r="AC54" s="66">
        <v>14400</v>
      </c>
      <c r="AD54" s="66">
        <v>15000</v>
      </c>
      <c r="AE54" s="66">
        <v>15600</v>
      </c>
      <c r="AF54" s="66">
        <v>16200</v>
      </c>
      <c r="AG54" s="66">
        <v>16800</v>
      </c>
      <c r="AH54" s="66"/>
    </row>
    <row r="55" spans="1:34" ht="15.75" customHeight="1" x14ac:dyDescent="0.25">
      <c r="A55" s="306"/>
      <c r="B55" s="309"/>
      <c r="C55" s="309"/>
      <c r="D55" s="59" t="s">
        <v>117</v>
      </c>
      <c r="E55" s="62">
        <v>0</v>
      </c>
      <c r="F55" s="63">
        <v>54.326237263000003</v>
      </c>
      <c r="G55" s="63">
        <v>77.924362751999993</v>
      </c>
      <c r="H55" s="63">
        <v>98.782756120000002</v>
      </c>
      <c r="I55" s="63">
        <v>115.249672866</v>
      </c>
      <c r="J55" s="63">
        <v>130.06932745700001</v>
      </c>
      <c r="K55" s="63">
        <v>140.49770916899999</v>
      </c>
      <c r="L55" s="63">
        <v>151.47538200899999</v>
      </c>
      <c r="M55" s="63">
        <v>163.45282175</v>
      </c>
      <c r="N55" s="63">
        <v>171</v>
      </c>
      <c r="O55" s="63">
        <v>177.46015299999999</v>
      </c>
      <c r="P55" s="63">
        <v>182.146242</v>
      </c>
      <c r="Q55" s="63">
        <v>187.68642165599999</v>
      </c>
      <c r="R55" s="63">
        <v>189.07350400000001</v>
      </c>
      <c r="S55" s="63">
        <v>189.32492286199999</v>
      </c>
      <c r="T55" s="70">
        <v>189.32492286199999</v>
      </c>
      <c r="U55" s="70">
        <v>189.32492286199999</v>
      </c>
      <c r="V55" s="70">
        <v>189.32492286199999</v>
      </c>
      <c r="W55" s="70">
        <v>189.32492286199999</v>
      </c>
      <c r="X55" s="70">
        <v>189.32492286199999</v>
      </c>
      <c r="Y55" s="70">
        <v>189.32492286199999</v>
      </c>
      <c r="Z55" s="70">
        <v>189.32492286199999</v>
      </c>
      <c r="AA55" s="70">
        <v>189.32492286199999</v>
      </c>
      <c r="AB55" s="70">
        <v>189.32492286199999</v>
      </c>
      <c r="AC55" s="70">
        <v>189.32492286199999</v>
      </c>
      <c r="AD55" s="70">
        <v>189.32492286199999</v>
      </c>
      <c r="AE55" s="70">
        <v>189.32492286199999</v>
      </c>
      <c r="AF55" s="70">
        <v>189.32492286199999</v>
      </c>
      <c r="AG55" s="70">
        <v>189.32492286199999</v>
      </c>
      <c r="AH55" s="70"/>
    </row>
    <row r="56" spans="1:34" ht="15.75" customHeight="1" x14ac:dyDescent="0.25">
      <c r="A56" s="19" t="s">
        <v>120</v>
      </c>
      <c r="B56" s="56"/>
      <c r="C56" s="56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8"/>
      <c r="AE56" s="58"/>
      <c r="AF56" s="58"/>
      <c r="AG56" s="58"/>
      <c r="AH56" s="58"/>
    </row>
    <row r="57" spans="1:34" ht="15.75" customHeight="1" x14ac:dyDescent="0.25">
      <c r="A57" s="307" t="s">
        <v>121</v>
      </c>
      <c r="B57" s="307" t="s">
        <v>12</v>
      </c>
      <c r="C57" s="310">
        <v>13200</v>
      </c>
      <c r="D57" s="59" t="s">
        <v>116</v>
      </c>
      <c r="E57" s="65">
        <v>0</v>
      </c>
      <c r="F57" s="65">
        <v>1200</v>
      </c>
      <c r="G57" s="65">
        <v>2400</v>
      </c>
      <c r="H57" s="65">
        <v>3600</v>
      </c>
      <c r="I57" s="65">
        <v>4800</v>
      </c>
      <c r="J57" s="65">
        <v>6000</v>
      </c>
      <c r="K57" s="65">
        <v>7200</v>
      </c>
      <c r="L57" s="65">
        <v>8400</v>
      </c>
      <c r="M57" s="65">
        <v>9600</v>
      </c>
      <c r="N57" s="65">
        <v>10800</v>
      </c>
      <c r="O57" s="65">
        <v>12000</v>
      </c>
      <c r="P57" s="65">
        <v>13200</v>
      </c>
      <c r="Q57" s="65"/>
      <c r="R57" s="65"/>
      <c r="S57" s="65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</row>
    <row r="58" spans="1:34" ht="15.75" customHeight="1" x14ac:dyDescent="0.25">
      <c r="A58" s="306"/>
      <c r="B58" s="306"/>
      <c r="C58" s="309"/>
      <c r="D58" s="59" t="s">
        <v>117</v>
      </c>
      <c r="E58" s="62">
        <v>0</v>
      </c>
      <c r="F58" s="63">
        <v>53.710500000000003</v>
      </c>
      <c r="G58" s="63">
        <v>94.148799999999994</v>
      </c>
      <c r="H58" s="63">
        <v>124.386</v>
      </c>
      <c r="I58" s="63">
        <v>132.465</v>
      </c>
      <c r="J58" s="63">
        <v>134.77000000000001</v>
      </c>
      <c r="K58" s="63">
        <v>134.77000000000001</v>
      </c>
      <c r="L58" s="63">
        <v>134.77000000000001</v>
      </c>
      <c r="M58" s="63">
        <v>134.77000000000001</v>
      </c>
      <c r="N58" s="63">
        <v>134.77000000000001</v>
      </c>
      <c r="O58" s="63">
        <v>134.77000000000001</v>
      </c>
      <c r="P58" s="63">
        <v>134.77000000000001</v>
      </c>
      <c r="Q58" s="63"/>
      <c r="R58" s="63"/>
      <c r="S58" s="63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</row>
    <row r="59" spans="1:34" ht="15.75" customHeight="1" x14ac:dyDescent="0.25">
      <c r="A59" s="307" t="s">
        <v>122</v>
      </c>
      <c r="B59" s="307" t="s">
        <v>12</v>
      </c>
      <c r="C59" s="310">
        <v>14500</v>
      </c>
      <c r="D59" s="59" t="s">
        <v>116</v>
      </c>
      <c r="E59" s="65">
        <v>0</v>
      </c>
      <c r="F59" s="65">
        <v>500</v>
      </c>
      <c r="G59" s="65">
        <v>1000</v>
      </c>
      <c r="H59" s="65">
        <v>1500</v>
      </c>
      <c r="I59" s="65">
        <v>2000</v>
      </c>
      <c r="J59" s="65">
        <v>2500</v>
      </c>
      <c r="K59" s="65">
        <v>3000</v>
      </c>
      <c r="L59" s="65">
        <v>3500</v>
      </c>
      <c r="M59" s="65">
        <v>4000</v>
      </c>
      <c r="N59" s="65">
        <v>4500</v>
      </c>
      <c r="O59" s="65">
        <v>5000</v>
      </c>
      <c r="P59" s="65">
        <v>5500</v>
      </c>
      <c r="Q59" s="65">
        <v>6000</v>
      </c>
      <c r="R59" s="65">
        <v>6500</v>
      </c>
      <c r="S59" s="65">
        <v>7000</v>
      </c>
      <c r="T59" s="66">
        <v>7500</v>
      </c>
      <c r="U59" s="66">
        <v>8000</v>
      </c>
      <c r="V59" s="66">
        <v>8500</v>
      </c>
      <c r="W59" s="66">
        <v>9000</v>
      </c>
      <c r="X59" s="66">
        <v>9500</v>
      </c>
      <c r="Y59" s="66">
        <v>10000</v>
      </c>
      <c r="Z59" s="66">
        <v>10500</v>
      </c>
      <c r="AA59" s="66">
        <v>11000</v>
      </c>
      <c r="AB59" s="66">
        <v>11500</v>
      </c>
      <c r="AC59" s="66">
        <v>12000</v>
      </c>
      <c r="AD59" s="66">
        <v>12500</v>
      </c>
      <c r="AE59" s="66">
        <v>13000</v>
      </c>
      <c r="AF59" s="66">
        <v>13500</v>
      </c>
      <c r="AG59" s="66">
        <v>14000</v>
      </c>
      <c r="AH59" s="66">
        <v>14500</v>
      </c>
    </row>
    <row r="60" spans="1:34" ht="15.75" customHeight="1" x14ac:dyDescent="0.25">
      <c r="A60" s="311"/>
      <c r="B60" s="306"/>
      <c r="C60" s="309"/>
      <c r="D60" s="59" t="s">
        <v>117</v>
      </c>
      <c r="E60" s="62">
        <v>0</v>
      </c>
      <c r="F60" s="63">
        <v>36.280999999999999</v>
      </c>
      <c r="G60" s="63">
        <v>59.248199999999997</v>
      </c>
      <c r="H60" s="63">
        <v>79.715599999999995</v>
      </c>
      <c r="I60" s="63">
        <v>92.656199999999998</v>
      </c>
      <c r="J60" s="63">
        <v>104.84</v>
      </c>
      <c r="K60" s="63">
        <v>114.916</v>
      </c>
      <c r="L60" s="63">
        <v>121.97</v>
      </c>
      <c r="M60" s="63">
        <v>128.03700000000001</v>
      </c>
      <c r="N60" s="63">
        <v>132.221</v>
      </c>
      <c r="O60" s="63">
        <v>134.51900000000001</v>
      </c>
      <c r="P60" s="63">
        <v>134.97399999999999</v>
      </c>
      <c r="Q60" s="63">
        <v>134.97399999999999</v>
      </c>
      <c r="R60" s="63">
        <v>134.97399999999999</v>
      </c>
      <c r="S60" s="63">
        <v>134.97399999999999</v>
      </c>
      <c r="T60" s="70">
        <v>134.97399999999999</v>
      </c>
      <c r="U60" s="70">
        <v>134.97399999999999</v>
      </c>
      <c r="V60" s="70">
        <v>134.97399999999999</v>
      </c>
      <c r="W60" s="70">
        <v>134.97399999999999</v>
      </c>
      <c r="X60" s="70">
        <v>134.97399999999999</v>
      </c>
      <c r="Y60" s="70">
        <v>134.97399999999999</v>
      </c>
      <c r="Z60" s="70">
        <v>134.97399999999999</v>
      </c>
      <c r="AA60" s="70">
        <v>134.97399999999999</v>
      </c>
      <c r="AB60" s="70">
        <v>134.97399999999999</v>
      </c>
      <c r="AC60" s="70">
        <v>134.97399999999999</v>
      </c>
      <c r="AD60" s="70">
        <v>134.97399999999999</v>
      </c>
      <c r="AE60" s="70">
        <v>134.97399999999999</v>
      </c>
      <c r="AF60" s="70">
        <v>134.97399999999999</v>
      </c>
      <c r="AG60" s="70">
        <v>134.97399999999999</v>
      </c>
      <c r="AH60" s="70">
        <v>134.97399999999999</v>
      </c>
    </row>
    <row r="61" spans="1:34" ht="15.75" customHeight="1" x14ac:dyDescent="0.25">
      <c r="A61" s="307" t="s">
        <v>123</v>
      </c>
      <c r="B61" s="313">
        <v>0.25</v>
      </c>
      <c r="C61" s="310">
        <v>13000</v>
      </c>
      <c r="D61" s="59" t="s">
        <v>116</v>
      </c>
      <c r="E61" s="65">
        <v>0</v>
      </c>
      <c r="F61" s="65">
        <v>500</v>
      </c>
      <c r="G61" s="65">
        <v>1000</v>
      </c>
      <c r="H61" s="65">
        <v>1500</v>
      </c>
      <c r="I61" s="65">
        <v>2000</v>
      </c>
      <c r="J61" s="65">
        <v>2500</v>
      </c>
      <c r="K61" s="65">
        <v>3000</v>
      </c>
      <c r="L61" s="65">
        <v>3500</v>
      </c>
      <c r="M61" s="65">
        <v>4000</v>
      </c>
      <c r="N61" s="65">
        <v>4500</v>
      </c>
      <c r="O61" s="65">
        <v>5000</v>
      </c>
      <c r="P61" s="65">
        <v>5500</v>
      </c>
      <c r="Q61" s="65">
        <v>6000</v>
      </c>
      <c r="R61" s="65">
        <v>6500</v>
      </c>
      <c r="S61" s="65">
        <v>7000</v>
      </c>
      <c r="T61" s="66">
        <v>7500</v>
      </c>
      <c r="U61" s="66">
        <v>8000</v>
      </c>
      <c r="V61" s="66">
        <v>8500</v>
      </c>
      <c r="W61" s="66">
        <v>9000</v>
      </c>
      <c r="X61" s="66">
        <v>9500</v>
      </c>
      <c r="Y61" s="66">
        <v>10000</v>
      </c>
      <c r="Z61" s="66">
        <v>10500</v>
      </c>
      <c r="AA61" s="66">
        <v>11000</v>
      </c>
      <c r="AB61" s="66">
        <v>11500</v>
      </c>
      <c r="AC61" s="66">
        <v>12000</v>
      </c>
      <c r="AD61" s="66">
        <v>12500</v>
      </c>
      <c r="AE61" s="66">
        <v>13000</v>
      </c>
      <c r="AF61" s="66"/>
      <c r="AG61" s="66"/>
      <c r="AH61" s="66"/>
    </row>
    <row r="62" spans="1:34" ht="15.75" customHeight="1" x14ac:dyDescent="0.25">
      <c r="A62" s="306"/>
      <c r="B62" s="309"/>
      <c r="C62" s="309"/>
      <c r="D62" s="59" t="s">
        <v>117</v>
      </c>
      <c r="E62" s="62">
        <v>0</v>
      </c>
      <c r="F62" s="63">
        <v>23.86208767023</v>
      </c>
      <c r="G62" s="63">
        <v>44.631010205819997</v>
      </c>
      <c r="H62" s="63">
        <v>62.306661994739997</v>
      </c>
      <c r="I62" s="63">
        <v>77.772910116060004</v>
      </c>
      <c r="J62" s="63">
        <v>93.889094670000006</v>
      </c>
      <c r="K62" s="63">
        <v>107.8214336676</v>
      </c>
      <c r="L62" s="63">
        <v>119.7524246967</v>
      </c>
      <c r="M62" s="63">
        <v>129.03255377279999</v>
      </c>
      <c r="N62" s="63">
        <v>137.87016844319999</v>
      </c>
      <c r="O62" s="63">
        <v>144.16042095</v>
      </c>
      <c r="P62" s="63">
        <v>148.9171867812</v>
      </c>
      <c r="Q62" s="63">
        <v>151.78032891449999</v>
      </c>
      <c r="R62" s="63">
        <v>152.89453583100001</v>
      </c>
      <c r="S62" s="63">
        <v>152.89453583100001</v>
      </c>
      <c r="T62" s="70">
        <v>152.89453583100001</v>
      </c>
      <c r="U62" s="70">
        <v>152.89453583100001</v>
      </c>
      <c r="V62" s="70">
        <v>152.89453583100001</v>
      </c>
      <c r="W62" s="70">
        <v>152.89453583100001</v>
      </c>
      <c r="X62" s="70">
        <v>152.89453583100001</v>
      </c>
      <c r="Y62" s="70">
        <v>152.89453583100001</v>
      </c>
      <c r="Z62" s="70">
        <v>152.89453583100001</v>
      </c>
      <c r="AA62" s="70">
        <v>152.89453583100001</v>
      </c>
      <c r="AB62" s="70">
        <v>152.89453583100001</v>
      </c>
      <c r="AC62" s="70">
        <v>152.89453583100001</v>
      </c>
      <c r="AD62" s="70">
        <v>152.89453583100001</v>
      </c>
      <c r="AE62" s="70">
        <v>152.89453583100001</v>
      </c>
      <c r="AF62" s="70"/>
      <c r="AG62" s="70"/>
      <c r="AH62" s="70"/>
    </row>
    <row r="63" spans="1:34" ht="15.75" customHeight="1" x14ac:dyDescent="0.25">
      <c r="A63" s="19" t="s">
        <v>124</v>
      </c>
      <c r="B63" s="56"/>
      <c r="C63" s="56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8"/>
      <c r="AE63" s="58"/>
      <c r="AF63" s="58"/>
      <c r="AG63" s="58"/>
      <c r="AH63" s="58"/>
    </row>
    <row r="64" spans="1:34" ht="15.75" customHeight="1" x14ac:dyDescent="0.25">
      <c r="A64" s="307" t="s">
        <v>125</v>
      </c>
      <c r="B64" s="307" t="s">
        <v>12</v>
      </c>
      <c r="C64" s="310">
        <v>22500</v>
      </c>
      <c r="D64" s="59" t="s">
        <v>116</v>
      </c>
      <c r="E64" s="65">
        <v>0</v>
      </c>
      <c r="F64" s="65">
        <v>1500</v>
      </c>
      <c r="G64" s="65">
        <v>3000</v>
      </c>
      <c r="H64" s="65">
        <v>4500</v>
      </c>
      <c r="I64" s="65">
        <v>6000</v>
      </c>
      <c r="J64" s="65">
        <v>7500</v>
      </c>
      <c r="K64" s="65">
        <v>9000</v>
      </c>
      <c r="L64" s="65">
        <v>10500</v>
      </c>
      <c r="M64" s="65">
        <v>12000</v>
      </c>
      <c r="N64" s="65">
        <v>13500</v>
      </c>
      <c r="O64" s="65">
        <v>15000</v>
      </c>
      <c r="P64" s="65">
        <v>16500</v>
      </c>
      <c r="Q64" s="65">
        <v>18000</v>
      </c>
      <c r="R64" s="65">
        <v>19500</v>
      </c>
      <c r="S64" s="65">
        <v>21000</v>
      </c>
      <c r="T64" s="66">
        <v>22500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</row>
    <row r="65" spans="1:34" ht="15.75" customHeight="1" x14ac:dyDescent="0.25">
      <c r="A65" s="306"/>
      <c r="B65" s="311"/>
      <c r="C65" s="309"/>
      <c r="D65" s="59" t="s">
        <v>117</v>
      </c>
      <c r="E65" s="62">
        <v>0</v>
      </c>
      <c r="F65" s="63">
        <v>45.806759800000002</v>
      </c>
      <c r="G65" s="63">
        <v>101.4572198</v>
      </c>
      <c r="H65" s="63">
        <v>129.918137083</v>
      </c>
      <c r="I65" s="63">
        <v>129.918137083</v>
      </c>
      <c r="J65" s="63">
        <v>129.918137083</v>
      </c>
      <c r="K65" s="63">
        <v>140.66041523000001</v>
      </c>
      <c r="L65" s="63">
        <v>172.65528881380001</v>
      </c>
      <c r="M65" s="63">
        <v>210.75409943</v>
      </c>
      <c r="N65" s="63">
        <v>245.94171829999999</v>
      </c>
      <c r="O65" s="63">
        <v>245.94171829999999</v>
      </c>
      <c r="P65" s="63">
        <v>245.94171829999999</v>
      </c>
      <c r="Q65" s="63">
        <v>245.94171829999999</v>
      </c>
      <c r="R65" s="63">
        <v>245.94171829999999</v>
      </c>
      <c r="S65" s="63">
        <v>245.94171829999999</v>
      </c>
      <c r="T65" s="70">
        <v>245.94171829999999</v>
      </c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</row>
    <row r="66" spans="1:34" ht="15.75" customHeight="1" x14ac:dyDescent="0.25">
      <c r="A66" s="19" t="s">
        <v>126</v>
      </c>
      <c r="B66" s="56"/>
      <c r="C66" s="56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8"/>
      <c r="AE66" s="58"/>
      <c r="AF66" s="58"/>
      <c r="AG66" s="58"/>
      <c r="AH66" s="58"/>
    </row>
    <row r="67" spans="1:34" ht="15.75" customHeight="1" x14ac:dyDescent="0.25">
      <c r="A67" s="307" t="s">
        <v>127</v>
      </c>
      <c r="B67" s="307" t="s">
        <v>12</v>
      </c>
      <c r="C67" s="310">
        <v>3700</v>
      </c>
      <c r="D67" s="59" t="s">
        <v>116</v>
      </c>
      <c r="E67" s="65">
        <v>0</v>
      </c>
      <c r="F67" s="65">
        <v>300</v>
      </c>
      <c r="G67" s="65">
        <v>600</v>
      </c>
      <c r="H67" s="65">
        <v>900</v>
      </c>
      <c r="I67" s="65">
        <v>1200</v>
      </c>
      <c r="J67" s="65">
        <v>1500</v>
      </c>
      <c r="K67" s="65">
        <v>1800</v>
      </c>
      <c r="L67" s="65">
        <v>2100</v>
      </c>
      <c r="M67" s="65">
        <v>2400</v>
      </c>
      <c r="N67" s="65">
        <v>2700</v>
      </c>
      <c r="O67" s="65">
        <v>3000</v>
      </c>
      <c r="P67" s="65">
        <v>3300</v>
      </c>
      <c r="Q67" s="65">
        <v>3600</v>
      </c>
      <c r="R67" s="65">
        <v>3900</v>
      </c>
      <c r="S67" s="65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</row>
    <row r="68" spans="1:34" ht="15.75" customHeight="1" x14ac:dyDescent="0.25">
      <c r="A68" s="306"/>
      <c r="B68" s="306"/>
      <c r="C68" s="309"/>
      <c r="D68" s="59" t="s">
        <v>117</v>
      </c>
      <c r="E68" s="62">
        <v>0</v>
      </c>
      <c r="F68" s="63">
        <v>10.030610640000001</v>
      </c>
      <c r="G68" s="63">
        <v>23.764884120000001</v>
      </c>
      <c r="H68" s="63">
        <v>33.486863159999999</v>
      </c>
      <c r="I68" s="63">
        <v>39.968210399999997</v>
      </c>
      <c r="J68" s="63">
        <v>44</v>
      </c>
      <c r="K68" s="63">
        <v>44</v>
      </c>
      <c r="L68" s="63">
        <v>44</v>
      </c>
      <c r="M68" s="63">
        <v>44</v>
      </c>
      <c r="N68" s="63">
        <v>44</v>
      </c>
      <c r="O68" s="63">
        <v>44</v>
      </c>
      <c r="P68" s="63">
        <v>44</v>
      </c>
      <c r="Q68" s="63">
        <v>44</v>
      </c>
      <c r="R68" s="63">
        <v>44</v>
      </c>
      <c r="S68" s="63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spans="1:34" ht="15.75" customHeight="1" x14ac:dyDescent="0.25"/>
    <row r="70" spans="1:34" ht="15.75" customHeight="1" x14ac:dyDescent="0.25"/>
    <row r="71" spans="1:34" ht="15.75" customHeight="1" x14ac:dyDescent="0.25">
      <c r="A71" s="314" t="s">
        <v>128</v>
      </c>
      <c r="B71" s="315"/>
      <c r="C71" s="317"/>
      <c r="E71" s="314" t="s">
        <v>129</v>
      </c>
      <c r="F71" s="315"/>
      <c r="G71" s="316"/>
    </row>
    <row r="72" spans="1:34" ht="15.75" customHeight="1" x14ac:dyDescent="0.25">
      <c r="A72" s="59" t="s">
        <v>130</v>
      </c>
      <c r="B72" s="60" t="s">
        <v>131</v>
      </c>
      <c r="C72" s="71">
        <v>0.111397905905382</v>
      </c>
      <c r="E72" s="59" t="s">
        <v>132</v>
      </c>
      <c r="F72" s="72" t="s">
        <v>80</v>
      </c>
      <c r="G72" s="21">
        <v>4636</v>
      </c>
    </row>
    <row r="73" spans="1:34" ht="15.75" customHeight="1" x14ac:dyDescent="0.25">
      <c r="A73" s="59" t="s">
        <v>133</v>
      </c>
      <c r="B73" s="60" t="s">
        <v>134</v>
      </c>
      <c r="C73" s="71">
        <v>2.1000000000000001E-2</v>
      </c>
      <c r="E73" s="59" t="s">
        <v>135</v>
      </c>
      <c r="F73" s="72" t="s">
        <v>80</v>
      </c>
      <c r="G73" s="21">
        <v>13.5</v>
      </c>
    </row>
    <row r="74" spans="1:34" ht="15.75" customHeight="1" x14ac:dyDescent="0.25">
      <c r="A74" s="59" t="s">
        <v>136</v>
      </c>
      <c r="B74" s="60" t="s">
        <v>134</v>
      </c>
      <c r="C74" s="71">
        <v>0.16300000000000001</v>
      </c>
      <c r="E74" s="59" t="s">
        <v>137</v>
      </c>
      <c r="F74" s="72" t="s">
        <v>80</v>
      </c>
      <c r="G74" s="21">
        <v>2001.40206683304</v>
      </c>
    </row>
    <row r="75" spans="1:34" ht="15.75" customHeight="1" x14ac:dyDescent="0.25">
      <c r="A75" s="73" t="s">
        <v>138</v>
      </c>
      <c r="B75" s="16" t="s">
        <v>134</v>
      </c>
      <c r="C75" s="74">
        <v>2.3E-2</v>
      </c>
      <c r="E75" s="59" t="s">
        <v>139</v>
      </c>
      <c r="F75" s="72" t="s">
        <v>80</v>
      </c>
      <c r="G75" s="21">
        <v>6.6975559326811798</v>
      </c>
    </row>
    <row r="76" spans="1:34" ht="15.75" customHeight="1" x14ac:dyDescent="0.25">
      <c r="A76" s="59" t="s">
        <v>140</v>
      </c>
      <c r="B76" s="60" t="s">
        <v>131</v>
      </c>
      <c r="C76" s="71">
        <v>2.8160563794549499E-2</v>
      </c>
      <c r="E76" s="59" t="s">
        <v>141</v>
      </c>
      <c r="F76" s="72" t="s">
        <v>80</v>
      </c>
      <c r="G76" s="21">
        <v>5018</v>
      </c>
    </row>
    <row r="77" spans="1:34" ht="15.75" customHeight="1" x14ac:dyDescent="0.25">
      <c r="A77" s="59" t="s">
        <v>142</v>
      </c>
      <c r="B77" s="60" t="s">
        <v>131</v>
      </c>
      <c r="C77" s="71">
        <v>2.39191442553424E-2</v>
      </c>
      <c r="E77" s="59" t="s">
        <v>143</v>
      </c>
      <c r="F77" s="72" t="s">
        <v>80</v>
      </c>
      <c r="G77" s="21">
        <v>814</v>
      </c>
    </row>
    <row r="78" spans="1:34" ht="15.75" customHeight="1" x14ac:dyDescent="0.25">
      <c r="A78" s="59" t="s">
        <v>144</v>
      </c>
      <c r="B78" s="60" t="s">
        <v>131</v>
      </c>
      <c r="C78" s="71">
        <v>7.2415243025247406E-2</v>
      </c>
    </row>
    <row r="79" spans="1:34" ht="15.75" customHeight="1" x14ac:dyDescent="0.25">
      <c r="A79" s="59" t="s">
        <v>145</v>
      </c>
      <c r="B79" s="60" t="s">
        <v>131</v>
      </c>
      <c r="C79" s="71">
        <v>4.7714333877406603E-2</v>
      </c>
    </row>
    <row r="80" spans="1:34" ht="15.75" customHeight="1" x14ac:dyDescent="0.25">
      <c r="A80" s="59" t="s">
        <v>146</v>
      </c>
      <c r="B80" s="60" t="s">
        <v>131</v>
      </c>
      <c r="C80" s="71">
        <v>0.25131580577027302</v>
      </c>
    </row>
    <row r="81" spans="1:23" ht="15.75" customHeight="1" x14ac:dyDescent="0.25">
      <c r="A81" s="59" t="s">
        <v>147</v>
      </c>
      <c r="B81" s="60" t="s">
        <v>131</v>
      </c>
      <c r="C81" s="71">
        <v>0.41031784894531997</v>
      </c>
    </row>
    <row r="82" spans="1:23" ht="15.75" customHeight="1" x14ac:dyDescent="0.25">
      <c r="A82" s="59" t="s">
        <v>148</v>
      </c>
      <c r="B82" s="60" t="s">
        <v>131</v>
      </c>
      <c r="C82" s="71">
        <v>0.45342377398037298</v>
      </c>
    </row>
    <row r="83" spans="1:23" ht="15.75" customHeight="1" x14ac:dyDescent="0.25">
      <c r="A83" s="59" t="s">
        <v>149</v>
      </c>
      <c r="B83" s="60" t="s">
        <v>131</v>
      </c>
      <c r="C83" s="75">
        <v>0.29499999999999998</v>
      </c>
    </row>
    <row r="84" spans="1:23" ht="15.75" customHeight="1" x14ac:dyDescent="0.25">
      <c r="A84" s="59" t="s">
        <v>150</v>
      </c>
      <c r="B84" s="72" t="s">
        <v>134</v>
      </c>
      <c r="C84" s="71">
        <v>0.27712259634619701</v>
      </c>
    </row>
    <row r="85" spans="1:23" ht="15.75" customHeight="1" x14ac:dyDescent="0.25">
      <c r="A85" s="59" t="s">
        <v>151</v>
      </c>
      <c r="B85" s="72" t="s">
        <v>134</v>
      </c>
      <c r="C85" s="71">
        <v>3.57155639845654E-2</v>
      </c>
    </row>
    <row r="86" spans="1:23" ht="15.75" customHeight="1" x14ac:dyDescent="0.25">
      <c r="A86" s="59" t="s">
        <v>152</v>
      </c>
      <c r="B86" s="72" t="s">
        <v>134</v>
      </c>
      <c r="C86" s="71">
        <v>6.2786670589893401E-2</v>
      </c>
    </row>
    <row r="87" spans="1:23" ht="15.75" customHeight="1" x14ac:dyDescent="0.25">
      <c r="A87" s="59" t="s">
        <v>153</v>
      </c>
      <c r="B87" s="72" t="s">
        <v>134</v>
      </c>
      <c r="C87" s="71">
        <v>0.14412798177622499</v>
      </c>
    </row>
    <row r="88" spans="1:23" ht="15.75" customHeight="1" x14ac:dyDescent="0.25">
      <c r="A88" s="59" t="s">
        <v>154</v>
      </c>
      <c r="B88" s="72" t="s">
        <v>134</v>
      </c>
      <c r="C88" s="71">
        <v>7.6999999999999999E-2</v>
      </c>
    </row>
    <row r="89" spans="1:23" ht="15.75" customHeight="1" x14ac:dyDescent="0.25">
      <c r="A89" s="59" t="s">
        <v>155</v>
      </c>
      <c r="B89" s="72" t="s">
        <v>134</v>
      </c>
      <c r="C89" s="71">
        <v>3.5349915149459801E-2</v>
      </c>
    </row>
    <row r="90" spans="1:23" ht="15.75" customHeight="1" x14ac:dyDescent="0.25"/>
    <row r="91" spans="1:23" ht="15.75" customHeight="1" x14ac:dyDescent="0.25"/>
    <row r="92" spans="1:23" ht="15.75" customHeight="1" x14ac:dyDescent="0.25">
      <c r="A92" s="314" t="s">
        <v>30</v>
      </c>
      <c r="B92" s="317"/>
      <c r="C92" s="13">
        <v>1995</v>
      </c>
      <c r="D92" s="13">
        <v>1996</v>
      </c>
      <c r="E92" s="13">
        <v>1997</v>
      </c>
      <c r="F92" s="13">
        <v>1998</v>
      </c>
      <c r="G92" s="13">
        <v>1999</v>
      </c>
      <c r="H92" s="13">
        <v>2000</v>
      </c>
      <c r="I92" s="13">
        <v>2001</v>
      </c>
      <c r="J92" s="13">
        <v>2002</v>
      </c>
      <c r="K92" s="13">
        <v>2003</v>
      </c>
      <c r="L92" s="13">
        <v>2004</v>
      </c>
      <c r="M92" s="13">
        <v>2005</v>
      </c>
      <c r="N92" s="13">
        <v>2006</v>
      </c>
      <c r="O92" s="13">
        <v>2007</v>
      </c>
      <c r="P92" s="13">
        <v>2008</v>
      </c>
      <c r="Q92" s="13">
        <v>2009</v>
      </c>
      <c r="R92" s="13">
        <v>2010</v>
      </c>
      <c r="S92" s="13">
        <v>2011</v>
      </c>
      <c r="T92" s="13">
        <v>2012</v>
      </c>
      <c r="U92" s="13">
        <v>2013</v>
      </c>
      <c r="V92" s="13">
        <v>2014</v>
      </c>
      <c r="W92" s="76" t="s">
        <v>156</v>
      </c>
    </row>
    <row r="93" spans="1:23" ht="15.75" customHeight="1" x14ac:dyDescent="0.25">
      <c r="A93" s="77" t="s">
        <v>157</v>
      </c>
      <c r="B93" s="13" t="s">
        <v>8</v>
      </c>
      <c r="C93" s="78">
        <v>0.900270516570427</v>
      </c>
      <c r="D93" s="78">
        <v>0.79801547837450704</v>
      </c>
      <c r="E93" s="78">
        <v>0.82655085245178905</v>
      </c>
      <c r="F93" s="78">
        <v>0.85138518098932903</v>
      </c>
      <c r="G93" s="78">
        <v>0.83662925102841401</v>
      </c>
      <c r="H93" s="78">
        <v>0.80716069164927295</v>
      </c>
      <c r="I93" s="78">
        <v>0.80752602418582198</v>
      </c>
      <c r="J93" s="78">
        <v>0.81166711004135905</v>
      </c>
      <c r="K93" s="78">
        <v>0.78037299045852804</v>
      </c>
      <c r="L93" s="78">
        <v>0.82911402010110802</v>
      </c>
      <c r="M93" s="78">
        <v>0.83313086009771997</v>
      </c>
      <c r="N93" s="78">
        <v>0.85814876413716201</v>
      </c>
      <c r="O93" s="78">
        <v>0.86386471082451</v>
      </c>
      <c r="P93" s="78">
        <v>0.86526303059430298</v>
      </c>
      <c r="Q93" s="78">
        <v>0.84703790158607595</v>
      </c>
      <c r="R93" s="78">
        <v>0.83542208549034502</v>
      </c>
      <c r="S93" s="78">
        <v>0.82357222899251703</v>
      </c>
      <c r="T93" s="78">
        <v>0.79926493232129503</v>
      </c>
      <c r="U93" s="78">
        <v>0.73498574117652005</v>
      </c>
      <c r="V93" s="78">
        <v>0.73028381574532297</v>
      </c>
      <c r="W93" s="79"/>
    </row>
    <row r="94" spans="1:23" ht="15.75" customHeight="1" x14ac:dyDescent="0.25">
      <c r="A94" s="77" t="s">
        <v>158</v>
      </c>
      <c r="B94" s="13" t="s">
        <v>8</v>
      </c>
      <c r="C94" s="78">
        <v>0.26782295944824303</v>
      </c>
      <c r="D94" s="78">
        <v>0.26665722417318799</v>
      </c>
      <c r="E94" s="78">
        <v>0.26830320759173398</v>
      </c>
      <c r="F94" s="78">
        <v>0.27381318635211399</v>
      </c>
      <c r="G94" s="78">
        <v>0.27801964711607102</v>
      </c>
      <c r="H94" s="78">
        <v>0.30552058829314399</v>
      </c>
      <c r="I94" s="78">
        <v>0.30845101322725499</v>
      </c>
      <c r="J94" s="78">
        <v>0.30869336364830302</v>
      </c>
      <c r="K94" s="78">
        <v>0.31604759393825299</v>
      </c>
      <c r="L94" s="78">
        <v>0.31760571304542401</v>
      </c>
      <c r="M94" s="78">
        <v>0.31705352904069101</v>
      </c>
      <c r="N94" s="78">
        <v>0.32400262321308498</v>
      </c>
      <c r="O94" s="78">
        <v>0.32796421608654502</v>
      </c>
      <c r="P94" s="78">
        <v>0.32862834898119903</v>
      </c>
      <c r="Q94" s="78">
        <v>0.33360975902069701</v>
      </c>
      <c r="R94" s="78">
        <v>0.33515156771473198</v>
      </c>
      <c r="S94" s="78">
        <v>0.32433564394115999</v>
      </c>
      <c r="T94" s="78">
        <v>0.32476042746440098</v>
      </c>
      <c r="U94" s="78">
        <v>0.31797643498814798</v>
      </c>
      <c r="V94" s="78">
        <v>0.33154405356431998</v>
      </c>
      <c r="W94" s="79"/>
    </row>
    <row r="95" spans="1:23" ht="15.75" customHeight="1" x14ac:dyDescent="0.25">
      <c r="A95" s="77" t="s">
        <v>159</v>
      </c>
      <c r="B95" s="13" t="s">
        <v>8</v>
      </c>
      <c r="C95" s="78">
        <v>0.348181978120297</v>
      </c>
      <c r="D95" s="78">
        <v>0.30658370588876099</v>
      </c>
      <c r="E95" s="78">
        <v>0.29071150494279002</v>
      </c>
      <c r="F95" s="78">
        <v>0.27992388078634101</v>
      </c>
      <c r="G95" s="78">
        <v>0.26893213161949497</v>
      </c>
      <c r="H95" s="78">
        <v>0.291626133243512</v>
      </c>
      <c r="I95" s="78">
        <v>0.29242955417479999</v>
      </c>
      <c r="J95" s="78">
        <v>0.28938147080726301</v>
      </c>
      <c r="K95" s="78">
        <v>0.28142737745033503</v>
      </c>
      <c r="L95" s="78">
        <v>0.27495237777396703</v>
      </c>
      <c r="M95" s="78">
        <v>0.26980106264673198</v>
      </c>
      <c r="N95" s="78">
        <v>0.28718557592022098</v>
      </c>
      <c r="O95" s="78">
        <v>0.27965735655873097</v>
      </c>
      <c r="P95" s="78">
        <v>0.27111578206520898</v>
      </c>
      <c r="Q95" s="78">
        <v>0.26852977690961299</v>
      </c>
      <c r="R95" s="78">
        <v>0.26853864364145402</v>
      </c>
      <c r="S95" s="78">
        <v>0.26936552781846201</v>
      </c>
      <c r="T95" s="78">
        <v>0.26897430848954901</v>
      </c>
      <c r="U95" s="78">
        <v>0.27004646141898297</v>
      </c>
      <c r="V95" s="78">
        <v>0.28437263486396103</v>
      </c>
      <c r="W95" s="79"/>
    </row>
    <row r="96" spans="1:23" ht="15.75" customHeight="1" x14ac:dyDescent="0.25">
      <c r="A96" s="77" t="s">
        <v>160</v>
      </c>
      <c r="B96" s="13" t="s">
        <v>8</v>
      </c>
      <c r="C96" s="78">
        <v>0.83472761950185304</v>
      </c>
      <c r="D96" s="78">
        <v>0.79391704088469695</v>
      </c>
      <c r="E96" s="78">
        <v>0.80753296570407396</v>
      </c>
      <c r="F96" s="78">
        <v>0.79856494219047902</v>
      </c>
      <c r="G96" s="78">
        <v>0.80536575413770395</v>
      </c>
      <c r="H96" s="78">
        <v>0.73373142616454401</v>
      </c>
      <c r="I96" s="78">
        <v>0.75358393687823599</v>
      </c>
      <c r="J96" s="78">
        <v>0.77998601169483694</v>
      </c>
      <c r="K96" s="78">
        <v>0.69841143160775998</v>
      </c>
      <c r="L96" s="78">
        <v>0.70519769572783297</v>
      </c>
      <c r="M96" s="78">
        <v>0.72277816757869195</v>
      </c>
      <c r="N96" s="78">
        <v>0.71950615806929796</v>
      </c>
      <c r="O96" s="78">
        <v>0.72939592731799696</v>
      </c>
      <c r="P96" s="78">
        <v>0.73788410632843504</v>
      </c>
      <c r="Q96" s="78">
        <v>0.73644234373962902</v>
      </c>
      <c r="R96" s="78">
        <v>0.70049377626752196</v>
      </c>
      <c r="S96" s="78">
        <v>0.71129189208272703</v>
      </c>
      <c r="T96" s="78">
        <v>0.66598588606535203</v>
      </c>
      <c r="U96" s="78">
        <v>0.70791781457507896</v>
      </c>
      <c r="V96" s="78">
        <v>0.71454853926064898</v>
      </c>
      <c r="W96" s="79"/>
    </row>
    <row r="97" spans="1:34" ht="15.75" customHeight="1" x14ac:dyDescent="0.25">
      <c r="A97" s="77" t="s">
        <v>161</v>
      </c>
      <c r="B97" s="13" t="s">
        <v>8</v>
      </c>
      <c r="C97" s="78">
        <v>0.27203499999452602</v>
      </c>
      <c r="D97" s="78">
        <v>0.263068885184641</v>
      </c>
      <c r="E97" s="78">
        <v>0.27545884097647599</v>
      </c>
      <c r="F97" s="78">
        <v>0.27891076827970701</v>
      </c>
      <c r="G97" s="78">
        <v>0.27789150432842102</v>
      </c>
      <c r="H97" s="78">
        <v>0.278811500741454</v>
      </c>
      <c r="I97" s="78">
        <v>0.275296537042929</v>
      </c>
      <c r="J97" s="78">
        <v>0.27518960645178597</v>
      </c>
      <c r="K97" s="78">
        <v>0.282779160692678</v>
      </c>
      <c r="L97" s="78">
        <v>0.28322167684940402</v>
      </c>
      <c r="M97" s="78">
        <v>0.28426860282831201</v>
      </c>
      <c r="N97" s="78">
        <v>0.280688495592404</v>
      </c>
      <c r="O97" s="78">
        <v>0.28915271943220699</v>
      </c>
      <c r="P97" s="78">
        <v>0.302415063183883</v>
      </c>
      <c r="Q97" s="78">
        <v>0.30167536009026702</v>
      </c>
      <c r="R97" s="78">
        <v>0.29793486861348401</v>
      </c>
      <c r="S97" s="78">
        <v>0.29266262622170103</v>
      </c>
      <c r="T97" s="78">
        <v>0.29278659243706301</v>
      </c>
      <c r="U97" s="78">
        <v>0.29829300985708201</v>
      </c>
      <c r="V97" s="78">
        <v>0.30761772840986901</v>
      </c>
      <c r="W97" s="79"/>
    </row>
    <row r="98" spans="1:34" ht="15.75" customHeight="1" x14ac:dyDescent="0.25">
      <c r="A98" s="77" t="s">
        <v>162</v>
      </c>
      <c r="B98" s="13" t="s">
        <v>8</v>
      </c>
      <c r="C98" s="78">
        <v>0.31110748223005102</v>
      </c>
      <c r="D98" s="78">
        <v>0.27146068584931399</v>
      </c>
      <c r="E98" s="78">
        <v>0.28005010704497502</v>
      </c>
      <c r="F98" s="78">
        <v>0.290812658632493</v>
      </c>
      <c r="G98" s="78">
        <v>0.28312974923460799</v>
      </c>
      <c r="H98" s="78">
        <v>0.30852271504871598</v>
      </c>
      <c r="I98" s="78">
        <v>0.30629958279337499</v>
      </c>
      <c r="J98" s="78">
        <v>0.29925130651812998</v>
      </c>
      <c r="K98" s="78">
        <v>0.27807426360936999</v>
      </c>
      <c r="L98" s="78">
        <v>0.28296812908546898</v>
      </c>
      <c r="M98" s="78">
        <v>0.24566650306280699</v>
      </c>
      <c r="N98" s="78">
        <v>0.24060451276074801</v>
      </c>
      <c r="O98" s="78">
        <v>0.24386961785362701</v>
      </c>
      <c r="P98" s="78">
        <v>0.25122846960658501</v>
      </c>
      <c r="Q98" s="78">
        <v>0.26893068358948802</v>
      </c>
      <c r="R98" s="78">
        <v>0.27212307003403102</v>
      </c>
      <c r="S98" s="78">
        <v>0.26753189523710902</v>
      </c>
      <c r="T98" s="78">
        <v>0.264572005757855</v>
      </c>
      <c r="U98" s="78">
        <v>0.24924363461171201</v>
      </c>
      <c r="V98" s="78">
        <v>0.256922987209799</v>
      </c>
      <c r="W98" s="79"/>
    </row>
    <row r="99" spans="1:34" ht="15.75" customHeight="1" x14ac:dyDescent="0.25">
      <c r="A99" s="77" t="s">
        <v>163</v>
      </c>
      <c r="B99" s="13" t="s">
        <v>8</v>
      </c>
      <c r="C99" s="80">
        <v>0.92374504244927702</v>
      </c>
      <c r="D99" s="80">
        <v>0.83635333349929997</v>
      </c>
      <c r="E99" s="80">
        <v>0.83185333921564497</v>
      </c>
      <c r="F99" s="80">
        <v>0.83437750976444902</v>
      </c>
      <c r="G99" s="80">
        <v>0.84490374877858099</v>
      </c>
      <c r="H99" s="80">
        <v>0.81347003484152602</v>
      </c>
      <c r="I99" s="80">
        <v>0.83150910581755899</v>
      </c>
      <c r="J99" s="80">
        <v>0.803647747331666</v>
      </c>
      <c r="K99" s="80">
        <v>0.81996261566631301</v>
      </c>
      <c r="L99" s="80">
        <v>0.82013914717633096</v>
      </c>
      <c r="M99" s="80">
        <v>0.830453125951232</v>
      </c>
      <c r="N99" s="80">
        <v>0.85100305751138605</v>
      </c>
      <c r="O99" s="80">
        <v>0.85343137005432201</v>
      </c>
      <c r="P99" s="80">
        <v>0.85271142983099402</v>
      </c>
      <c r="Q99" s="80">
        <v>0.83082030860183198</v>
      </c>
      <c r="R99" s="80">
        <v>0.83128874514197004</v>
      </c>
      <c r="S99" s="80">
        <v>0.831416361961128</v>
      </c>
      <c r="T99" s="80">
        <v>0.83719182627431099</v>
      </c>
      <c r="U99" s="80">
        <v>0.81772486278928302</v>
      </c>
      <c r="V99" s="80">
        <v>0.78669706422246499</v>
      </c>
      <c r="W99" s="81"/>
      <c r="X99" s="42"/>
      <c r="Y99" s="82"/>
      <c r="Z99" s="42"/>
      <c r="AA99" s="42"/>
      <c r="AB99" s="42"/>
      <c r="AC99" s="42"/>
      <c r="AD99" s="42"/>
      <c r="AE99" s="42"/>
      <c r="AF99" s="42"/>
      <c r="AG99" s="42"/>
      <c r="AH99" s="42"/>
    </row>
    <row r="100" spans="1:34" ht="15.75" customHeight="1" x14ac:dyDescent="0.25">
      <c r="A100" s="77" t="s">
        <v>164</v>
      </c>
      <c r="B100" s="13" t="s">
        <v>8</v>
      </c>
      <c r="C100" s="78">
        <v>0.36059267388064098</v>
      </c>
      <c r="D100" s="78">
        <v>0.33483336102887801</v>
      </c>
      <c r="E100" s="78">
        <v>0.346647649830434</v>
      </c>
      <c r="F100" s="78">
        <v>0.35312993395873798</v>
      </c>
      <c r="G100" s="78">
        <v>0.297373989345462</v>
      </c>
      <c r="H100" s="78">
        <v>0.31012580512156701</v>
      </c>
      <c r="I100" s="78">
        <v>0.32513162171457299</v>
      </c>
      <c r="J100" s="78">
        <v>0.34184245041539502</v>
      </c>
      <c r="K100" s="78">
        <v>0.32837626354703697</v>
      </c>
      <c r="L100" s="78">
        <v>0.31172847731284697</v>
      </c>
      <c r="M100" s="78">
        <v>0.30438653224080398</v>
      </c>
      <c r="N100" s="78">
        <v>0.29767818828797499</v>
      </c>
      <c r="O100" s="78">
        <v>0.29991121932366999</v>
      </c>
      <c r="P100" s="78">
        <v>0.29937648312294501</v>
      </c>
      <c r="Q100" s="78">
        <v>0.30003259801926102</v>
      </c>
      <c r="R100" s="78">
        <v>0.29242527982890598</v>
      </c>
      <c r="S100" s="78">
        <v>0.28935790043948501</v>
      </c>
      <c r="T100" s="78">
        <v>0.29758405532679499</v>
      </c>
      <c r="U100" s="78">
        <v>0.31072881072292502</v>
      </c>
      <c r="V100" s="78">
        <v>0.329932769511044</v>
      </c>
      <c r="W100" s="81"/>
    </row>
    <row r="101" spans="1:34" ht="15.75" customHeight="1" x14ac:dyDescent="0.25">
      <c r="A101" s="77" t="s">
        <v>165</v>
      </c>
      <c r="B101" s="13" t="s">
        <v>8</v>
      </c>
      <c r="C101" s="78">
        <v>0.358341687358052</v>
      </c>
      <c r="D101" s="78">
        <v>0.38646043220083798</v>
      </c>
      <c r="E101" s="78">
        <v>0.34270011314285997</v>
      </c>
      <c r="F101" s="78">
        <v>0.342609242505381</v>
      </c>
      <c r="G101" s="78">
        <v>0.25599853627334801</v>
      </c>
      <c r="H101" s="78">
        <v>0.27189087245527399</v>
      </c>
      <c r="I101" s="78">
        <v>0.30978899425881001</v>
      </c>
      <c r="J101" s="78">
        <v>0.26224278854629701</v>
      </c>
      <c r="K101" s="78">
        <v>0.24249576844588999</v>
      </c>
      <c r="L101" s="78">
        <v>0.2814351729756</v>
      </c>
      <c r="M101" s="78">
        <v>0.29350979736335803</v>
      </c>
      <c r="N101" s="78">
        <v>0.31696173434707697</v>
      </c>
      <c r="O101" s="78">
        <v>0.32313190295529998</v>
      </c>
      <c r="P101" s="78">
        <v>0.32732942509102497</v>
      </c>
      <c r="Q101" s="78">
        <v>0.35200693929315802</v>
      </c>
      <c r="R101" s="78">
        <v>0.31166079425216398</v>
      </c>
      <c r="S101" s="78">
        <v>0.27911794088613701</v>
      </c>
      <c r="T101" s="78">
        <v>0.266131743597885</v>
      </c>
      <c r="U101" s="78">
        <v>0.271970800238437</v>
      </c>
      <c r="V101" s="78">
        <v>0.25805294634437198</v>
      </c>
      <c r="W101" s="81"/>
    </row>
    <row r="102" spans="1:34" ht="15.75" customHeight="1" x14ac:dyDescent="0.25">
      <c r="A102" s="59" t="s">
        <v>166</v>
      </c>
      <c r="B102" s="13" t="s">
        <v>167</v>
      </c>
      <c r="C102" s="78">
        <v>37.813000000000002</v>
      </c>
      <c r="D102" s="78">
        <v>38.008000000000003</v>
      </c>
      <c r="E102" s="78">
        <v>38.707999999999998</v>
      </c>
      <c r="F102" s="78">
        <v>38.843000000000004</v>
      </c>
      <c r="G102" s="78">
        <v>39.840000000000003</v>
      </c>
      <c r="H102" s="78">
        <v>39.902999999999999</v>
      </c>
      <c r="I102" s="78">
        <v>39.938000000000002</v>
      </c>
      <c r="J102" s="78">
        <v>40.540999999999997</v>
      </c>
      <c r="K102" s="78">
        <v>41.534999999999997</v>
      </c>
      <c r="L102" s="78">
        <v>41.945999999999998</v>
      </c>
      <c r="M102" s="78">
        <v>42.082000000000001</v>
      </c>
      <c r="N102" s="78">
        <v>42.186999999999998</v>
      </c>
      <c r="O102" s="78">
        <v>42.884999999999998</v>
      </c>
      <c r="P102" s="78">
        <v>43.195999999999998</v>
      </c>
      <c r="Q102" s="78">
        <v>43.381999999999998</v>
      </c>
      <c r="R102" s="78">
        <v>43.393000000000001</v>
      </c>
      <c r="S102" s="78">
        <v>43.951000000000001</v>
      </c>
      <c r="T102" s="78">
        <v>43.854999999999997</v>
      </c>
      <c r="U102" s="78">
        <v>44.466000000000001</v>
      </c>
      <c r="V102" s="83">
        <v>44.268000000000001</v>
      </c>
      <c r="W102" s="84"/>
    </row>
    <row r="103" spans="1:34" ht="15.75" customHeight="1" x14ac:dyDescent="0.25">
      <c r="A103" s="77" t="s">
        <v>168</v>
      </c>
      <c r="B103" s="13" t="s">
        <v>8</v>
      </c>
      <c r="C103" s="78">
        <v>2.12276424</v>
      </c>
      <c r="D103" s="78">
        <v>2.12623104</v>
      </c>
      <c r="E103" s="78">
        <v>2.1231064700000002</v>
      </c>
      <c r="F103" s="78">
        <v>2.1130467300000002</v>
      </c>
      <c r="G103" s="78">
        <v>2.1735677999999998</v>
      </c>
      <c r="H103" s="78">
        <v>2.1882282499999999</v>
      </c>
      <c r="I103" s="78">
        <v>2.2560478000000002</v>
      </c>
      <c r="J103" s="78">
        <v>2.34037271</v>
      </c>
      <c r="K103" s="78">
        <v>2.4201021200000001</v>
      </c>
      <c r="L103" s="78">
        <v>2.5440667299999999</v>
      </c>
      <c r="M103" s="78">
        <v>2.6353135999999999</v>
      </c>
      <c r="N103" s="78">
        <v>2.7016235599999998</v>
      </c>
      <c r="O103" s="78">
        <v>2.83974232</v>
      </c>
      <c r="P103" s="78">
        <v>2.86682404</v>
      </c>
      <c r="Q103" s="78">
        <v>2.78902384</v>
      </c>
      <c r="R103" s="78">
        <v>2.9260466200000002</v>
      </c>
      <c r="S103" s="78">
        <v>3.0703874299999998</v>
      </c>
      <c r="T103" s="78">
        <v>3.5232924300000001</v>
      </c>
      <c r="U103" s="78">
        <v>3.4736966900000001</v>
      </c>
      <c r="V103" s="78">
        <v>3.4703146299999998</v>
      </c>
    </row>
    <row r="104" spans="1:34" ht="15.75" customHeight="1" x14ac:dyDescent="0.25">
      <c r="A104" s="77" t="s">
        <v>169</v>
      </c>
      <c r="B104" s="13" t="s">
        <v>8</v>
      </c>
      <c r="C104" s="78">
        <v>0.22106790000000001</v>
      </c>
      <c r="D104" s="78">
        <v>0.23877886000000001</v>
      </c>
      <c r="E104" s="78">
        <v>0.22058298000000001</v>
      </c>
      <c r="F104" s="78">
        <v>0.19908861999999999</v>
      </c>
      <c r="G104" s="78">
        <v>0.17753216999999999</v>
      </c>
      <c r="H104" s="78">
        <v>0.16850551</v>
      </c>
      <c r="I104" s="78">
        <v>0.18371080000000001</v>
      </c>
      <c r="J104" s="78">
        <v>0.19475629</v>
      </c>
      <c r="K104" s="78">
        <v>0.19557074999999999</v>
      </c>
      <c r="L104" s="78">
        <v>0.17127540999999999</v>
      </c>
      <c r="M104" s="78">
        <v>0.15939892999999999</v>
      </c>
      <c r="N104" s="78">
        <v>0.18059230000000001</v>
      </c>
      <c r="O104" s="78">
        <v>0.18713521999999999</v>
      </c>
      <c r="P104" s="78">
        <v>0.17082507999999999</v>
      </c>
      <c r="Q104" s="78">
        <v>0.15967739</v>
      </c>
      <c r="R104" s="78">
        <v>0.17991989999999999</v>
      </c>
      <c r="S104" s="78">
        <v>0.17048650000000001</v>
      </c>
      <c r="T104" s="78">
        <v>0.15029598999999999</v>
      </c>
      <c r="U104" s="78">
        <v>0.13919226000000001</v>
      </c>
      <c r="V104" s="78">
        <v>0.13753596000000001</v>
      </c>
    </row>
    <row r="105" spans="1:34" ht="15.75" customHeight="1" x14ac:dyDescent="0.25">
      <c r="A105" s="77" t="s">
        <v>170</v>
      </c>
      <c r="B105" s="13" t="s">
        <v>8</v>
      </c>
      <c r="C105" s="78">
        <v>0.13135263999999999</v>
      </c>
      <c r="D105" s="78">
        <v>0.14522502000000001</v>
      </c>
      <c r="E105" s="78">
        <v>0.16244876</v>
      </c>
      <c r="F105" s="78">
        <v>0.17106013</v>
      </c>
      <c r="G105" s="78">
        <v>0.25641764</v>
      </c>
      <c r="H105" s="78">
        <v>0.28492730999999999</v>
      </c>
      <c r="I105" s="78">
        <v>0.33951271999999999</v>
      </c>
      <c r="J105" s="78">
        <v>0.39872446</v>
      </c>
      <c r="K105" s="78">
        <v>0.41243782000000001</v>
      </c>
      <c r="L105" s="78">
        <v>0.45342303</v>
      </c>
      <c r="M105" s="78">
        <v>0.49843029</v>
      </c>
      <c r="N105" s="78">
        <v>0.53353154000000003</v>
      </c>
      <c r="O105" s="78">
        <v>0.69003844000000003</v>
      </c>
      <c r="P105" s="78">
        <v>0.79629397999999996</v>
      </c>
      <c r="Q105" s="78">
        <v>0.90816045999999995</v>
      </c>
      <c r="R105" s="78">
        <v>0.83673123000000005</v>
      </c>
      <c r="S105" s="78">
        <v>0.98802405000000004</v>
      </c>
      <c r="T105" s="78">
        <v>1.0866051000000001</v>
      </c>
      <c r="U105" s="78">
        <v>1.1993246399999999</v>
      </c>
      <c r="V105" s="78">
        <v>1.26714942</v>
      </c>
      <c r="X105" s="34" t="s">
        <v>171</v>
      </c>
      <c r="Y105" s="14">
        <v>0.13194015127346601</v>
      </c>
      <c r="Z105" s="44" t="s">
        <v>172</v>
      </c>
    </row>
    <row r="106" spans="1:34" ht="15.75" customHeight="1" x14ac:dyDescent="0.25">
      <c r="Y106" s="14">
        <f>-1+(V105/C105)^(1/(V92-C92))</f>
        <v>0.12670429172810316</v>
      </c>
      <c r="Z106" s="44" t="s">
        <v>173</v>
      </c>
    </row>
    <row r="107" spans="1:34" ht="15.75" customHeight="1" x14ac:dyDescent="0.25">
      <c r="A107" s="85" t="s">
        <v>174</v>
      </c>
      <c r="B107" s="11" t="s">
        <v>175</v>
      </c>
      <c r="C107" s="86">
        <v>2015</v>
      </c>
    </row>
    <row r="108" spans="1:34" ht="15.75" customHeight="1" x14ac:dyDescent="0.25">
      <c r="A108" s="87" t="s">
        <v>176</v>
      </c>
      <c r="B108" s="87"/>
      <c r="C108" s="88">
        <v>1995</v>
      </c>
      <c r="D108" s="88">
        <v>1996</v>
      </c>
      <c r="E108" s="88">
        <v>1997</v>
      </c>
      <c r="F108" s="88">
        <v>1998</v>
      </c>
      <c r="G108" s="88">
        <v>1999</v>
      </c>
      <c r="H108" s="88">
        <v>2000</v>
      </c>
      <c r="I108" s="88">
        <v>2001</v>
      </c>
      <c r="J108" s="88">
        <v>2002</v>
      </c>
      <c r="K108" s="88">
        <v>2003</v>
      </c>
      <c r="L108" s="88">
        <v>2004</v>
      </c>
      <c r="M108" s="88">
        <v>2005</v>
      </c>
      <c r="N108" s="88">
        <v>2006</v>
      </c>
      <c r="O108" s="88">
        <v>2007</v>
      </c>
      <c r="P108" s="88">
        <v>2008</v>
      </c>
      <c r="Q108" s="88">
        <v>2009</v>
      </c>
      <c r="R108" s="88">
        <v>2010</v>
      </c>
      <c r="S108" s="88">
        <v>2011</v>
      </c>
      <c r="T108" s="88">
        <v>2012</v>
      </c>
      <c r="U108" s="88">
        <v>2013</v>
      </c>
      <c r="V108" s="88">
        <v>2014</v>
      </c>
      <c r="W108" s="88">
        <v>2015</v>
      </c>
      <c r="X108" s="88">
        <v>2016</v>
      </c>
    </row>
    <row r="109" spans="1:34" ht="15.75" customHeight="1" x14ac:dyDescent="0.25">
      <c r="A109" s="59" t="s">
        <v>177</v>
      </c>
      <c r="B109" s="13" t="s">
        <v>8</v>
      </c>
      <c r="C109" s="78">
        <v>0.47494035235993698</v>
      </c>
      <c r="D109" s="78">
        <v>0.48784484337985101</v>
      </c>
      <c r="E109" s="78">
        <v>0.48319453732010698</v>
      </c>
      <c r="F109" s="78">
        <v>0.46891386213666503</v>
      </c>
      <c r="G109" s="78">
        <v>0.45504898204107302</v>
      </c>
      <c r="H109" s="78">
        <v>0.47876220805998498</v>
      </c>
      <c r="I109" s="78">
        <v>0.476786961857114</v>
      </c>
      <c r="J109" s="78">
        <v>0.47874893888354503</v>
      </c>
      <c r="K109" s="78">
        <v>0.47529703503778098</v>
      </c>
      <c r="L109" s="78">
        <v>0.477544401524363</v>
      </c>
      <c r="M109" s="78">
        <v>0.45998380576232401</v>
      </c>
      <c r="N109" s="78">
        <v>0.46592174286451299</v>
      </c>
      <c r="O109" s="78">
        <v>0.46554885319992401</v>
      </c>
      <c r="P109" s="78">
        <v>0.468237809557702</v>
      </c>
      <c r="Q109" s="78">
        <v>0.46002547010738798</v>
      </c>
      <c r="R109" s="78">
        <v>0.45474576456496701</v>
      </c>
      <c r="S109" s="78">
        <v>0.44887567948184198</v>
      </c>
      <c r="T109" s="78">
        <v>0.44103469213256702</v>
      </c>
      <c r="U109" s="78">
        <v>0.449947348943944</v>
      </c>
      <c r="V109" s="83">
        <v>0.45476626039191897</v>
      </c>
      <c r="W109" s="78"/>
      <c r="X109" s="14"/>
    </row>
    <row r="110" spans="1:34" ht="15.75" customHeight="1" x14ac:dyDescent="0.25">
      <c r="A110" s="59" t="s">
        <v>178</v>
      </c>
      <c r="B110" s="13" t="s">
        <v>8</v>
      </c>
      <c r="C110" s="78">
        <v>0.54260744461855404</v>
      </c>
      <c r="D110" s="78">
        <v>0.526931319378519</v>
      </c>
      <c r="E110" s="78">
        <v>0.538253258320047</v>
      </c>
      <c r="F110" s="78">
        <v>0.52972494786651503</v>
      </c>
      <c r="G110" s="78">
        <v>0.54608275737687895</v>
      </c>
      <c r="H110" s="78">
        <v>0.522406168880309</v>
      </c>
      <c r="I110" s="78">
        <v>0.54118771997640003</v>
      </c>
      <c r="J110" s="78">
        <v>0.55770700413195895</v>
      </c>
      <c r="K110" s="78">
        <v>0.56234297993535398</v>
      </c>
      <c r="L110" s="78">
        <v>0.56137058257141004</v>
      </c>
      <c r="M110" s="78">
        <v>0.58570403003733496</v>
      </c>
      <c r="N110" s="78">
        <v>0.58900267932487305</v>
      </c>
      <c r="O110" s="78">
        <v>0.59832017170802698</v>
      </c>
      <c r="P110" s="78">
        <v>0.59006885329059799</v>
      </c>
      <c r="Q110" s="78">
        <v>0.58160262630188897</v>
      </c>
      <c r="R110" s="78">
        <v>0.59695053153781896</v>
      </c>
      <c r="S110" s="78">
        <v>0.60592468896185003</v>
      </c>
      <c r="T110" s="78">
        <v>0.61913941594197797</v>
      </c>
      <c r="U110" s="78">
        <v>0.64684157980827495</v>
      </c>
      <c r="V110" s="83">
        <v>0.651895947448494</v>
      </c>
      <c r="W110" s="78"/>
      <c r="X110" s="14"/>
    </row>
    <row r="111" spans="1:34" ht="15.75" customHeight="1" x14ac:dyDescent="0.25">
      <c r="A111" s="59" t="s">
        <v>179</v>
      </c>
      <c r="B111" s="13" t="s">
        <v>8</v>
      </c>
      <c r="C111" s="78">
        <v>9.8629282483793199E-2</v>
      </c>
      <c r="D111" s="78">
        <v>0.117877015644449</v>
      </c>
      <c r="E111" s="78">
        <v>0.106082529065398</v>
      </c>
      <c r="F111" s="78">
        <v>0.108580905852538</v>
      </c>
      <c r="G111" s="78">
        <v>8.8822305333850896E-2</v>
      </c>
      <c r="H111" s="78">
        <v>7.5626219026378103E-2</v>
      </c>
      <c r="I111" s="78">
        <v>7.3460065686644802E-2</v>
      </c>
      <c r="J111" s="78">
        <v>6.5068565933510999E-2</v>
      </c>
      <c r="K111" s="78">
        <v>6.3299378808028606E-2</v>
      </c>
      <c r="L111" s="78">
        <v>7.1276383191131901E-2</v>
      </c>
      <c r="M111" s="78">
        <v>7.3902312307246004E-2</v>
      </c>
      <c r="N111" s="78">
        <v>7.5825834145122797E-2</v>
      </c>
      <c r="O111" s="78">
        <v>6.8195753855742502E-2</v>
      </c>
      <c r="P111" s="78">
        <v>6.2666016541292405E-2</v>
      </c>
      <c r="Q111" s="78">
        <v>6.9989058289789005E-2</v>
      </c>
      <c r="R111" s="78">
        <v>5.0737046817197401E-2</v>
      </c>
      <c r="S111" s="78">
        <v>5.1574460469007599E-2</v>
      </c>
      <c r="T111" s="78">
        <v>4.8610848297916599E-2</v>
      </c>
      <c r="U111" s="78">
        <v>3.3462519012297999E-2</v>
      </c>
      <c r="V111" s="83">
        <v>3.2844869257742902E-2</v>
      </c>
      <c r="W111" s="78"/>
      <c r="X111" s="14"/>
    </row>
    <row r="112" spans="1:34" ht="15.75" customHeight="1" x14ac:dyDescent="0.25">
      <c r="A112" s="89" t="s">
        <v>180</v>
      </c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</row>
    <row r="113" spans="1:24" ht="15.75" customHeight="1" x14ac:dyDescent="0.25">
      <c r="A113" s="59" t="s">
        <v>181</v>
      </c>
      <c r="B113" s="13" t="s">
        <v>82</v>
      </c>
      <c r="C113" s="78">
        <v>1.06025750753415</v>
      </c>
      <c r="D113" s="78">
        <v>1.1056776788632701</v>
      </c>
      <c r="E113" s="78">
        <v>1.2903463301151401</v>
      </c>
      <c r="F113" s="78">
        <v>1.4172025337438201</v>
      </c>
      <c r="G113" s="78">
        <v>1.4737016614421401</v>
      </c>
      <c r="H113" s="78">
        <v>2.6459843451365699</v>
      </c>
      <c r="I113" s="78">
        <v>2.7048717825313502</v>
      </c>
      <c r="J113" s="78">
        <v>3.1296715450102401</v>
      </c>
      <c r="K113" s="78">
        <v>3.4697200909205499</v>
      </c>
      <c r="L113" s="78">
        <v>3.9555142957287202</v>
      </c>
      <c r="M113" s="78">
        <v>3.9560890176996302</v>
      </c>
      <c r="N113" s="78">
        <v>4.2006813346854797</v>
      </c>
      <c r="O113" s="78">
        <v>4.5682172897939202</v>
      </c>
      <c r="P113" s="78">
        <v>5.21275859819613</v>
      </c>
      <c r="Q113" s="78">
        <v>5.5578789882194801</v>
      </c>
      <c r="R113" s="78">
        <v>6.3839712444101098</v>
      </c>
      <c r="S113" s="78">
        <v>7.8826612540580703</v>
      </c>
      <c r="T113" s="78">
        <v>10.1050379815777</v>
      </c>
      <c r="U113" s="78"/>
      <c r="V113" s="83"/>
      <c r="W113" s="78"/>
      <c r="X113" s="14"/>
    </row>
    <row r="114" spans="1:24" ht="15.75" customHeight="1" x14ac:dyDescent="0.25">
      <c r="A114" s="59" t="s">
        <v>182</v>
      </c>
      <c r="B114" s="13" t="s">
        <v>82</v>
      </c>
      <c r="C114" s="78">
        <v>1.27793447001597</v>
      </c>
      <c r="D114" s="78">
        <v>1.3548112305831601</v>
      </c>
      <c r="E114" s="78">
        <v>1.45978234285733</v>
      </c>
      <c r="F114" s="78">
        <v>1.6409697963227301</v>
      </c>
      <c r="G114" s="78">
        <v>1.68691194036657</v>
      </c>
      <c r="H114" s="78">
        <v>1.7427730974322599</v>
      </c>
      <c r="I114" s="78">
        <v>1.96576128586242</v>
      </c>
      <c r="J114" s="78">
        <v>2.0760554776445401</v>
      </c>
      <c r="K114" s="78">
        <v>2.21135885141116</v>
      </c>
      <c r="L114" s="78">
        <v>2.4489847531921001</v>
      </c>
      <c r="M114" s="78">
        <v>2.6410048917620701</v>
      </c>
      <c r="N114" s="78">
        <v>3.0115935233181199</v>
      </c>
      <c r="O114" s="78">
        <v>3.6728311149610602</v>
      </c>
      <c r="P114" s="78">
        <v>4.8938616547070204</v>
      </c>
      <c r="Q114" s="78">
        <v>5.9799637996472699</v>
      </c>
      <c r="R114" s="78">
        <v>8.6019898034907403</v>
      </c>
      <c r="S114" s="78">
        <v>11.3356827932973</v>
      </c>
      <c r="T114" s="78">
        <v>13.461287001815601</v>
      </c>
      <c r="U114" s="78"/>
      <c r="V114" s="83"/>
      <c r="W114" s="78"/>
      <c r="X114" s="14"/>
    </row>
    <row r="115" spans="1:24" ht="15.75" customHeight="1" x14ac:dyDescent="0.25">
      <c r="A115" s="59" t="s">
        <v>183</v>
      </c>
      <c r="B115" s="13" t="s">
        <v>82</v>
      </c>
      <c r="C115" s="78">
        <v>0.26293196000000002</v>
      </c>
      <c r="D115" s="78">
        <v>0.27309483000000001</v>
      </c>
      <c r="E115" s="78">
        <v>0.27772338000000002</v>
      </c>
      <c r="F115" s="78">
        <v>0.26207404000000001</v>
      </c>
      <c r="G115" s="78">
        <v>0.26722632000000002</v>
      </c>
      <c r="H115" s="78">
        <v>0.30062304000000001</v>
      </c>
      <c r="I115" s="78">
        <v>0.15679414999999999</v>
      </c>
      <c r="J115" s="78">
        <v>0.16186449</v>
      </c>
      <c r="K115" s="78">
        <v>0.16539380000000001</v>
      </c>
      <c r="L115" s="78">
        <v>0.13935132</v>
      </c>
      <c r="M115" s="78">
        <v>0.10021173</v>
      </c>
      <c r="N115" s="78">
        <v>0.14281664999999999</v>
      </c>
      <c r="O115" s="78">
        <v>0.11917676000000001</v>
      </c>
      <c r="P115" s="78">
        <v>9.9996440000000006E-2</v>
      </c>
      <c r="Q115" s="78">
        <v>0.11247093</v>
      </c>
      <c r="R115" s="78">
        <v>0.14480620999999999</v>
      </c>
      <c r="S115" s="78">
        <v>0.2200387</v>
      </c>
      <c r="T115" s="78">
        <v>0.22243911999999999</v>
      </c>
      <c r="U115" s="78">
        <v>0.24061640000000001</v>
      </c>
      <c r="V115" s="83">
        <v>0.27127101999999997</v>
      </c>
      <c r="W115" s="91">
        <v>0</v>
      </c>
      <c r="X115" s="14"/>
    </row>
    <row r="116" spans="1:24" ht="15.75" customHeight="1" x14ac:dyDescent="0.25">
      <c r="A116" s="59" t="s">
        <v>184</v>
      </c>
      <c r="B116" s="13" t="s">
        <v>82</v>
      </c>
      <c r="C116" s="78">
        <v>6.4205999999999999E-2</v>
      </c>
      <c r="D116" s="78">
        <v>5.606117E-2</v>
      </c>
      <c r="E116" s="78">
        <v>4.747241E-2</v>
      </c>
      <c r="F116" s="78">
        <v>2.589226E-2</v>
      </c>
      <c r="G116" s="78">
        <v>3.3874729999999999E-2</v>
      </c>
      <c r="H116" s="78">
        <v>3.8023679999999997E-2</v>
      </c>
      <c r="I116" s="78">
        <v>6.1790339999999999E-2</v>
      </c>
      <c r="J116" s="78">
        <v>5.8625539999999997E-2</v>
      </c>
      <c r="K116" s="78">
        <v>4.2497020000000003E-2</v>
      </c>
      <c r="L116" s="78">
        <v>8.3304589999999998E-2</v>
      </c>
      <c r="M116" s="78">
        <v>0.10185614</v>
      </c>
      <c r="N116" s="78">
        <v>0.10121208</v>
      </c>
      <c r="O116" s="78">
        <v>0.13211313</v>
      </c>
      <c r="P116" s="78">
        <v>0.15293263000000001</v>
      </c>
      <c r="Q116" s="78">
        <v>0.14861202000000001</v>
      </c>
      <c r="R116" s="78">
        <v>0.15202329000000001</v>
      </c>
      <c r="S116" s="78">
        <v>0.14950447</v>
      </c>
      <c r="T116" s="78">
        <v>0.24690301000000001</v>
      </c>
      <c r="U116" s="78">
        <v>0.29162874999999999</v>
      </c>
      <c r="V116" s="78">
        <v>0.31618224</v>
      </c>
      <c r="W116" s="78">
        <v>0</v>
      </c>
      <c r="X116" s="14"/>
    </row>
    <row r="117" spans="1:24" ht="15.75" customHeight="1" x14ac:dyDescent="0.25">
      <c r="A117" s="89" t="s">
        <v>185</v>
      </c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</row>
    <row r="118" spans="1:24" ht="15.75" customHeight="1" x14ac:dyDescent="0.25">
      <c r="A118" s="92" t="s">
        <v>186</v>
      </c>
      <c r="B118" s="13" t="s">
        <v>8</v>
      </c>
      <c r="C118" s="78">
        <v>0.153480103845584</v>
      </c>
      <c r="D118" s="78">
        <v>0.14549591639715501</v>
      </c>
      <c r="E118" s="78">
        <v>0.14182892835743099</v>
      </c>
      <c r="F118" s="78">
        <v>0.14296579232485401</v>
      </c>
      <c r="G118" s="78">
        <v>0.134859725742174</v>
      </c>
      <c r="H118" s="78">
        <v>0.12404681743507701</v>
      </c>
      <c r="I118" s="78">
        <v>0.120816882141525</v>
      </c>
      <c r="J118" s="78">
        <v>0.114315425212118</v>
      </c>
      <c r="K118" s="78">
        <v>0.10884459587869499</v>
      </c>
      <c r="L118" s="78">
        <v>0.104144144207317</v>
      </c>
      <c r="M118" s="78">
        <v>9.6810212201548604E-2</v>
      </c>
      <c r="N118" s="78">
        <v>8.5179488457883104E-2</v>
      </c>
      <c r="O118" s="78">
        <v>8.0043448952708998E-2</v>
      </c>
      <c r="P118" s="78">
        <v>7.6427006484653504E-2</v>
      </c>
      <c r="Q118" s="78">
        <v>7.0742277269640899E-2</v>
      </c>
      <c r="R118" s="78">
        <v>6.3623533935028495E-2</v>
      </c>
      <c r="S118" s="78">
        <v>6.2520709174501296E-2</v>
      </c>
      <c r="T118" s="78">
        <v>6.1748873557188597E-2</v>
      </c>
      <c r="U118" s="78">
        <v>6.18813666699774E-2</v>
      </c>
      <c r="V118" s="78">
        <v>6.1738272785309703E-2</v>
      </c>
      <c r="W118" s="78">
        <v>6.1736135774793602E-2</v>
      </c>
      <c r="X118" s="14"/>
    </row>
    <row r="119" spans="1:24" ht="15.75" customHeight="1" x14ac:dyDescent="0.25">
      <c r="A119" s="92" t="s">
        <v>187</v>
      </c>
      <c r="B119" s="13" t="s">
        <v>8</v>
      </c>
      <c r="C119" s="78">
        <v>0.224130238242949</v>
      </c>
      <c r="D119" s="78">
        <v>0.221725112045769</v>
      </c>
      <c r="E119" s="78">
        <v>0.23386523401297701</v>
      </c>
      <c r="F119" s="78">
        <v>0.244951460406512</v>
      </c>
      <c r="G119" s="78">
        <v>0.25808112961507601</v>
      </c>
      <c r="H119" s="78">
        <v>0.25895336806622199</v>
      </c>
      <c r="I119" s="78">
        <v>0.26839279928237902</v>
      </c>
      <c r="J119" s="78">
        <v>0.27342594449637198</v>
      </c>
      <c r="K119" s="78">
        <v>0.26962043633910299</v>
      </c>
      <c r="L119" s="78">
        <v>0.27883101711252201</v>
      </c>
      <c r="M119" s="78">
        <v>0.28083848258037503</v>
      </c>
      <c r="N119" s="78">
        <v>0.28373606863189099</v>
      </c>
      <c r="O119" s="78">
        <v>0.28937632319005802</v>
      </c>
      <c r="P119" s="78">
        <v>0.29916526010769801</v>
      </c>
      <c r="Q119" s="78">
        <v>0.307297970466335</v>
      </c>
      <c r="R119" s="78">
        <v>0.31046395435507801</v>
      </c>
      <c r="S119" s="78">
        <v>0.30204108495613102</v>
      </c>
      <c r="T119" s="78">
        <v>0.31079123544643</v>
      </c>
      <c r="U119" s="78">
        <v>0.29805204560120002</v>
      </c>
      <c r="V119" s="78">
        <v>0.30326742711461202</v>
      </c>
      <c r="W119" s="78"/>
      <c r="X119" s="14"/>
    </row>
    <row r="120" spans="1:24" ht="15.75" customHeight="1" x14ac:dyDescent="0.25">
      <c r="A120" s="59" t="s">
        <v>188</v>
      </c>
      <c r="B120" s="13" t="s">
        <v>8</v>
      </c>
      <c r="C120" s="78">
        <v>0.64000784030457303</v>
      </c>
      <c r="D120" s="78">
        <v>0.62549460956593605</v>
      </c>
      <c r="E120" s="78">
        <v>0.63301193696135905</v>
      </c>
      <c r="F120" s="78">
        <v>0.64869229237508796</v>
      </c>
      <c r="G120" s="78">
        <v>0.64692764622107102</v>
      </c>
      <c r="H120" s="78">
        <v>0.61380977372090095</v>
      </c>
      <c r="I120" s="78">
        <v>0.60610921413878205</v>
      </c>
      <c r="J120" s="78">
        <v>0.59861752426344195</v>
      </c>
      <c r="K120" s="78">
        <v>0.59528139159619797</v>
      </c>
      <c r="L120" s="78">
        <v>0.58658626148270199</v>
      </c>
      <c r="M120" s="78">
        <v>0.54471129212804803</v>
      </c>
      <c r="N120" s="78">
        <v>0.52717673519315</v>
      </c>
      <c r="O120" s="78">
        <v>0.50322019827902698</v>
      </c>
      <c r="P120" s="78">
        <v>0.49668145545839498</v>
      </c>
      <c r="Q120" s="78">
        <v>0.48668197474167602</v>
      </c>
      <c r="R120" s="78">
        <v>0.47750300962695102</v>
      </c>
      <c r="S120" s="78">
        <v>0.47070644665043598</v>
      </c>
      <c r="T120" s="78">
        <v>0.44995202983813598</v>
      </c>
      <c r="U120" s="78">
        <v>0.39036741840327299</v>
      </c>
      <c r="V120" s="78">
        <v>0.38200350592375598</v>
      </c>
      <c r="W120" s="78"/>
      <c r="X120" s="14"/>
    </row>
    <row r="121" spans="1:24" ht="15.75" customHeight="1" x14ac:dyDescent="0.25">
      <c r="A121" s="59" t="s">
        <v>189</v>
      </c>
      <c r="B121" s="13" t="s">
        <v>8</v>
      </c>
      <c r="C121" s="78">
        <v>0.18497727967086</v>
      </c>
      <c r="D121" s="78">
        <v>0.17191646447570999</v>
      </c>
      <c r="E121" s="78">
        <v>0.133053276456918</v>
      </c>
      <c r="F121" s="78">
        <v>0.151617810880008</v>
      </c>
      <c r="G121" s="78">
        <v>0.135318422278974</v>
      </c>
      <c r="H121" s="78">
        <v>0.120238913303252</v>
      </c>
      <c r="I121" s="78">
        <v>0.12010733048107899</v>
      </c>
      <c r="J121" s="78">
        <v>0.104996880746153</v>
      </c>
      <c r="K121" s="78">
        <v>0.101701681377713</v>
      </c>
      <c r="L121" s="78">
        <v>8.9097578583166206E-2</v>
      </c>
      <c r="M121" s="78">
        <v>8.21132092427629E-2</v>
      </c>
      <c r="N121" s="78">
        <v>7.5466155779301505E-2</v>
      </c>
      <c r="O121" s="78">
        <v>7.1352379512200206E-2</v>
      </c>
      <c r="P121" s="78">
        <v>6.9378419240295794E-2</v>
      </c>
      <c r="Q121" s="78">
        <v>7.2134341126453796E-2</v>
      </c>
      <c r="R121" s="78">
        <v>7.7758019921493796E-2</v>
      </c>
      <c r="S121" s="78">
        <v>6.9023030718483799E-2</v>
      </c>
      <c r="T121" s="78">
        <v>6.49803266225146E-2</v>
      </c>
      <c r="U121" s="78">
        <v>6.4780781553863895E-2</v>
      </c>
      <c r="V121" s="78">
        <v>6.75295475026646E-2</v>
      </c>
      <c r="W121" s="78"/>
      <c r="X121" s="14"/>
    </row>
    <row r="122" spans="1:24" ht="15.75" customHeight="1" x14ac:dyDescent="0.25">
      <c r="A122" s="19" t="s">
        <v>190</v>
      </c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</row>
    <row r="123" spans="1:24" ht="15.75" customHeight="1" x14ac:dyDescent="0.25">
      <c r="A123" s="59" t="s">
        <v>191</v>
      </c>
      <c r="B123" s="13" t="s">
        <v>192</v>
      </c>
      <c r="C123" s="78">
        <v>9052.8441084050501</v>
      </c>
      <c r="D123" s="78">
        <v>9171.9273117886096</v>
      </c>
      <c r="E123" s="78">
        <v>10472.882598545501</v>
      </c>
      <c r="F123" s="78">
        <v>9937.0873706095808</v>
      </c>
      <c r="G123" s="78">
        <v>9619.4772524608907</v>
      </c>
      <c r="H123" s="78">
        <v>9178.3659562678695</v>
      </c>
      <c r="I123" s="78">
        <v>10024.948550755</v>
      </c>
      <c r="J123" s="78">
        <v>11835.252519247</v>
      </c>
      <c r="K123" s="78">
        <v>14686.710467070599</v>
      </c>
      <c r="L123" s="78">
        <v>16445.720935966801</v>
      </c>
      <c r="M123" s="78">
        <v>19650.714691848902</v>
      </c>
      <c r="N123" s="78">
        <v>25666.356544618</v>
      </c>
      <c r="O123" s="78">
        <v>34701.534903066298</v>
      </c>
      <c r="P123" s="78">
        <v>46454.137824173798</v>
      </c>
      <c r="Q123" s="78">
        <v>51905.079401324998</v>
      </c>
      <c r="R123" s="78">
        <v>59604.690808323401</v>
      </c>
      <c r="S123" s="78">
        <v>61162.803038967199</v>
      </c>
      <c r="T123" s="78">
        <v>62278.4699942031</v>
      </c>
      <c r="U123" s="78">
        <v>67260.4728176184</v>
      </c>
      <c r="V123" s="78">
        <v>74207.514981640401</v>
      </c>
      <c r="W123" s="78">
        <v>74847.366593530096</v>
      </c>
      <c r="X123" s="14"/>
    </row>
    <row r="124" spans="1:24" ht="15.75" customHeight="1" x14ac:dyDescent="0.25">
      <c r="A124" s="93" t="s">
        <v>193</v>
      </c>
      <c r="B124" s="94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</row>
    <row r="125" spans="1:24" ht="15.75" customHeight="1" x14ac:dyDescent="0.25">
      <c r="A125" s="59" t="s">
        <v>194</v>
      </c>
      <c r="B125" s="13" t="s">
        <v>195</v>
      </c>
      <c r="C125" s="80">
        <v>3.2520551145224903E-2</v>
      </c>
      <c r="D125" s="80">
        <v>3.7030040661937901E-2</v>
      </c>
      <c r="E125" s="80">
        <v>4.21648423269761E-2</v>
      </c>
      <c r="F125" s="80">
        <v>4.8011665574166799E-2</v>
      </c>
      <c r="G125" s="80">
        <v>5.4669243473747499E-2</v>
      </c>
      <c r="H125" s="80">
        <v>6.225E-2</v>
      </c>
      <c r="I125" s="80">
        <v>6.8500000000000005E-2</v>
      </c>
      <c r="J125" s="80">
        <v>7.5600000000000001E-2</v>
      </c>
      <c r="K125" s="80">
        <v>8.4900000000000003E-2</v>
      </c>
      <c r="L125" s="80">
        <v>9.5600000000000004E-2</v>
      </c>
      <c r="M125" s="80">
        <v>0.1094</v>
      </c>
      <c r="N125" s="80">
        <v>0.1246</v>
      </c>
      <c r="O125" s="80">
        <v>0.1454</v>
      </c>
      <c r="P125" s="80">
        <v>0.17069999999999999</v>
      </c>
      <c r="Q125" s="80">
        <v>0.2036</v>
      </c>
      <c r="R125" s="80">
        <v>0.24229999999999999</v>
      </c>
      <c r="S125" s="80">
        <v>0.2863</v>
      </c>
      <c r="T125" s="80">
        <v>0.33079999999999998</v>
      </c>
      <c r="U125" s="80">
        <v>0.37569999999999998</v>
      </c>
      <c r="V125" s="80">
        <v>0.41</v>
      </c>
      <c r="W125" s="80"/>
      <c r="X125" s="14"/>
    </row>
    <row r="126" spans="1:24" ht="15.75" customHeight="1" x14ac:dyDescent="0.25">
      <c r="A126" s="59" t="s">
        <v>196</v>
      </c>
      <c r="B126" s="13" t="s">
        <v>195</v>
      </c>
      <c r="C126" s="78">
        <v>1.7180511106909199E-2</v>
      </c>
      <c r="D126" s="78">
        <v>1.8503410462141202E-2</v>
      </c>
      <c r="E126" s="78">
        <v>1.9928173067726099E-2</v>
      </c>
      <c r="F126" s="78">
        <v>2.1462642393940998E-2</v>
      </c>
      <c r="G126" s="78">
        <v>2.3115265858274399E-2</v>
      </c>
      <c r="H126" s="78">
        <v>2.48951413293616E-2</v>
      </c>
      <c r="I126" s="78">
        <v>2.6812067211722398E-2</v>
      </c>
      <c r="J126" s="78">
        <v>2.8876596387025E-2</v>
      </c>
      <c r="K126" s="78">
        <v>3.1100094308826001E-2</v>
      </c>
      <c r="L126" s="78">
        <v>3.3494801570605602E-2</v>
      </c>
      <c r="M126" s="78">
        <v>3.6073901291542199E-2</v>
      </c>
      <c r="N126" s="78">
        <v>3.8851591690990901E-2</v>
      </c>
      <c r="O126" s="78">
        <v>4.1843164251197197E-2</v>
      </c>
      <c r="P126" s="78">
        <v>4.5065087898539399E-2</v>
      </c>
      <c r="Q126" s="78">
        <v>4.8535099666726901E-2</v>
      </c>
      <c r="R126" s="78">
        <v>5.2272302341064898E-2</v>
      </c>
      <c r="S126" s="78">
        <v>5.6297269621326897E-2</v>
      </c>
      <c r="T126" s="78">
        <v>6.06321593821691E-2</v>
      </c>
      <c r="U126" s="78">
        <v>6.5300835654596101E-2</v>
      </c>
      <c r="V126" s="78">
        <v>7.0329000000000003E-2</v>
      </c>
      <c r="W126" s="91"/>
      <c r="X126" s="14"/>
    </row>
    <row r="127" spans="1:24" ht="15.75" customHeight="1" x14ac:dyDescent="0.25">
      <c r="A127" s="73" t="s">
        <v>197</v>
      </c>
      <c r="B127" s="4" t="s">
        <v>195</v>
      </c>
      <c r="C127" s="80">
        <v>0.37315398812196299</v>
      </c>
      <c r="D127" s="80">
        <v>0.388240441471007</v>
      </c>
      <c r="E127" s="80">
        <v>0.40393683356356702</v>
      </c>
      <c r="F127" s="80">
        <v>0.42026782395760698</v>
      </c>
      <c r="G127" s="80">
        <v>0.43725906918628898</v>
      </c>
      <c r="H127" s="80">
        <v>0.45493726306524401</v>
      </c>
      <c r="I127" s="80">
        <v>0.47333017862945398</v>
      </c>
      <c r="J127" s="80">
        <v>0.49246671176561901</v>
      </c>
      <c r="K127" s="80">
        <v>0.51237692660856204</v>
      </c>
      <c r="L127" s="80">
        <v>0.53309210277299401</v>
      </c>
      <c r="M127" s="80">
        <v>0.55464478449483601</v>
      </c>
      <c r="N127" s="80">
        <v>0.57706883175930501</v>
      </c>
      <c r="O127" s="80">
        <v>0.60039947349608502</v>
      </c>
      <c r="P127" s="80">
        <v>0.62467336292515596</v>
      </c>
      <c r="Q127" s="80">
        <v>0.64992863514023103</v>
      </c>
      <c r="R127" s="80">
        <v>0.676204967020266</v>
      </c>
      <c r="S127" s="80">
        <v>0.70354363956316501</v>
      </c>
      <c r="T127" s="80">
        <v>0.73198760273961505</v>
      </c>
      <c r="U127" s="80">
        <v>0.761581542968924</v>
      </c>
      <c r="V127" s="80">
        <v>0.79237195332288901</v>
      </c>
      <c r="W127" s="78"/>
      <c r="X127" s="14"/>
    </row>
    <row r="128" spans="1:24" ht="15.75" customHeight="1" x14ac:dyDescent="0.25">
      <c r="A128" s="93" t="s">
        <v>198</v>
      </c>
      <c r="B128" s="94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</row>
    <row r="129" spans="1:24" ht="15.75" customHeight="1" x14ac:dyDescent="0.25">
      <c r="A129" s="59" t="s">
        <v>194</v>
      </c>
      <c r="B129" s="13" t="s">
        <v>195</v>
      </c>
      <c r="C129" s="78">
        <v>2.0303326826418799E-6</v>
      </c>
      <c r="D129" s="78">
        <v>2.0303326826418799E-6</v>
      </c>
      <c r="E129" s="78">
        <v>6.4293868283659503E-6</v>
      </c>
      <c r="F129" s="78">
        <v>5.4142204870450097E-6</v>
      </c>
      <c r="G129" s="78">
        <v>7.7829419501271993E-6</v>
      </c>
      <c r="H129" s="78">
        <v>8.1213307305675095E-6</v>
      </c>
      <c r="I129" s="78">
        <v>9.1364970718884501E-6</v>
      </c>
      <c r="J129" s="78">
        <v>1.2520384876291601E-5</v>
      </c>
      <c r="K129" s="78">
        <v>1.7257827802455999E-5</v>
      </c>
      <c r="L129" s="78">
        <v>1.7257827802455999E-5</v>
      </c>
      <c r="M129" s="78">
        <v>1.8611382924217198E-5</v>
      </c>
      <c r="N129" s="78">
        <v>1.65810502415753E-5</v>
      </c>
      <c r="O129" s="78">
        <v>2.0980104387299402E-5</v>
      </c>
      <c r="P129" s="78">
        <v>2.3348825850381601E-5</v>
      </c>
      <c r="Q129" s="78">
        <v>4.7036040481203501E-5</v>
      </c>
      <c r="R129" s="78">
        <v>6.4970645844540103E-5</v>
      </c>
      <c r="S129" s="78">
        <v>9.3395303401526406E-5</v>
      </c>
      <c r="T129" s="78">
        <v>1.4246167656537201E-4</v>
      </c>
      <c r="U129" s="78">
        <v>1.8137638631600801E-4</v>
      </c>
      <c r="V129" s="78">
        <v>2.4939253118451101E-4</v>
      </c>
      <c r="W129" s="78"/>
      <c r="X129" s="14"/>
    </row>
    <row r="130" spans="1:24" ht="15.75" customHeight="1" x14ac:dyDescent="0.25">
      <c r="A130" s="59" t="s">
        <v>196</v>
      </c>
      <c r="B130" s="13" t="s">
        <v>195</v>
      </c>
      <c r="C130" s="78">
        <v>1.9992724712776799E-3</v>
      </c>
      <c r="D130" s="78">
        <v>1.9333400358171799E-3</v>
      </c>
      <c r="E130" s="78">
        <v>1.95751127349961E-3</v>
      </c>
      <c r="F130" s="78">
        <v>1.96564812578875E-3</v>
      </c>
      <c r="G130" s="78">
        <v>2.0795640578366499E-3</v>
      </c>
      <c r="H130" s="78">
        <v>2.1914457768122701E-3</v>
      </c>
      <c r="I130" s="78">
        <v>2.27113906540881E-3</v>
      </c>
      <c r="J130" s="78">
        <v>2.3363535433143798E-3</v>
      </c>
      <c r="K130" s="78">
        <v>2.3091908158197599E-3</v>
      </c>
      <c r="L130" s="78">
        <v>2.36076410018179E-3</v>
      </c>
      <c r="M130" s="78">
        <v>2.8492145567149099E-3</v>
      </c>
      <c r="N130" s="78">
        <v>2.85328298285948E-3</v>
      </c>
      <c r="O130" s="78">
        <v>2.9447029115197698E-3</v>
      </c>
      <c r="P130" s="78">
        <v>3.0486870973912301E-3</v>
      </c>
      <c r="Q130" s="78">
        <v>3.0231996041914398E-3</v>
      </c>
      <c r="R130" s="78">
        <v>3.1245512790281701E-3</v>
      </c>
      <c r="S130" s="78">
        <v>3.0721403775187399E-3</v>
      </c>
      <c r="T130" s="78">
        <v>3.3061945404238798E-3</v>
      </c>
      <c r="U130" s="78">
        <v>3.4202301320642699E-3</v>
      </c>
      <c r="V130" s="78">
        <v>3.58177058192212E-3</v>
      </c>
      <c r="W130" s="78"/>
      <c r="X130" s="14"/>
    </row>
    <row r="131" spans="1:24" ht="15.75" customHeight="1" x14ac:dyDescent="0.25">
      <c r="A131" s="73" t="s">
        <v>197</v>
      </c>
      <c r="B131" s="4" t="s">
        <v>195</v>
      </c>
      <c r="C131" s="80">
        <v>1.1673642830242E-2</v>
      </c>
      <c r="D131" s="80">
        <v>1.49632166532694E-2</v>
      </c>
      <c r="E131" s="80">
        <v>1.40757864141018E-2</v>
      </c>
      <c r="F131" s="80">
        <v>1.41119989965763E-2</v>
      </c>
      <c r="G131" s="80">
        <v>1.33065068599603E-2</v>
      </c>
      <c r="H131" s="80">
        <v>1.32543759618973E-2</v>
      </c>
      <c r="I131" s="80">
        <v>1.41368594735114E-2</v>
      </c>
      <c r="J131" s="80">
        <v>1.48777270540128E-2</v>
      </c>
      <c r="K131" s="80">
        <v>1.6775811784095401E-2</v>
      </c>
      <c r="L131" s="80">
        <v>1.7262303413099499E-2</v>
      </c>
      <c r="M131" s="80">
        <v>1.80646879900986E-2</v>
      </c>
      <c r="N131" s="80">
        <v>1.9816146641931098E-2</v>
      </c>
      <c r="O131" s="80">
        <v>2.0802194334247001E-2</v>
      </c>
      <c r="P131" s="80">
        <v>2.1475583477353E-2</v>
      </c>
      <c r="Q131" s="80">
        <v>2.2805745832552099E-2</v>
      </c>
      <c r="R131" s="80">
        <v>2.7088850858809601E-2</v>
      </c>
      <c r="S131" s="80">
        <v>2.62413115379895E-2</v>
      </c>
      <c r="T131" s="80">
        <v>2.9897640815394502E-2</v>
      </c>
      <c r="U131" s="80">
        <v>3.0840372931826E-2</v>
      </c>
      <c r="V131" s="80">
        <v>3.10888508620096E-2</v>
      </c>
      <c r="W131" s="80"/>
      <c r="X131" s="14"/>
    </row>
    <row r="132" spans="1:24" ht="15.75" customHeight="1" x14ac:dyDescent="0.25">
      <c r="A132" s="93" t="s">
        <v>199</v>
      </c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</row>
    <row r="133" spans="1:24" ht="15.75" customHeight="1" x14ac:dyDescent="0.25">
      <c r="A133" s="59" t="s">
        <v>200</v>
      </c>
      <c r="B133" s="13" t="s">
        <v>201</v>
      </c>
      <c r="C133" s="78">
        <v>2210</v>
      </c>
      <c r="D133" s="78">
        <v>2291</v>
      </c>
      <c r="E133" s="78">
        <v>2271</v>
      </c>
      <c r="F133" s="78">
        <v>2316</v>
      </c>
      <c r="G133" s="78">
        <v>2393</v>
      </c>
      <c r="H133" s="78">
        <v>2449</v>
      </c>
      <c r="I133" s="78">
        <v>2516</v>
      </c>
      <c r="J133" s="78">
        <v>2545</v>
      </c>
      <c r="K133" s="78">
        <v>2517</v>
      </c>
      <c r="L133" s="78">
        <v>2617</v>
      </c>
      <c r="M133" s="78">
        <v>2639</v>
      </c>
      <c r="N133" s="78">
        <v>2659</v>
      </c>
      <c r="O133" s="78">
        <v>2597</v>
      </c>
      <c r="P133" s="78">
        <v>2602</v>
      </c>
      <c r="Q133" s="78">
        <v>2568</v>
      </c>
      <c r="R133" s="78">
        <v>2620</v>
      </c>
      <c r="S133" s="78">
        <v>2507</v>
      </c>
      <c r="T133" s="78">
        <v>2345</v>
      </c>
      <c r="U133" s="78">
        <v>2364</v>
      </c>
      <c r="V133" s="78">
        <v>2408</v>
      </c>
      <c r="W133" s="78">
        <v>0</v>
      </c>
      <c r="X133" s="14"/>
    </row>
    <row r="134" spans="1:24" ht="15.75" customHeight="1" x14ac:dyDescent="0.25">
      <c r="A134" s="93" t="s">
        <v>202</v>
      </c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</row>
    <row r="135" spans="1:24" ht="15.75" customHeight="1" x14ac:dyDescent="0.25">
      <c r="A135" s="77" t="s">
        <v>203</v>
      </c>
      <c r="B135" s="4" t="s">
        <v>204</v>
      </c>
      <c r="C135" s="80">
        <v>0.62449003014246895</v>
      </c>
      <c r="D135" s="80">
        <v>0.63407003210444901</v>
      </c>
      <c r="E135" s="80">
        <v>0.64850003881705798</v>
      </c>
      <c r="F135" s="80">
        <v>0.65704002747222801</v>
      </c>
      <c r="G135" s="80">
        <v>0.67499003636323796</v>
      </c>
      <c r="H135" s="80">
        <v>0.68822003695296197</v>
      </c>
      <c r="I135" s="80">
        <v>0.69851003644802501</v>
      </c>
      <c r="J135" s="80">
        <v>0.71313002660836</v>
      </c>
      <c r="K135" s="80">
        <v>0.73179004235127099</v>
      </c>
      <c r="L135" s="80">
        <v>0.75037002884677495</v>
      </c>
      <c r="M135" s="80">
        <v>0.77049004114884101</v>
      </c>
      <c r="N135" s="80">
        <v>0.79287004836869601</v>
      </c>
      <c r="O135" s="80">
        <v>0.82019003092095999</v>
      </c>
      <c r="P135" s="80">
        <v>0.85216004668377299</v>
      </c>
      <c r="Q135" s="80">
        <v>0.88593005291039995</v>
      </c>
      <c r="R135" s="80">
        <v>0.91975004592654297</v>
      </c>
      <c r="S135" s="80">
        <v>0.94653004444113897</v>
      </c>
      <c r="T135" s="80">
        <v>0.97619004639954399</v>
      </c>
      <c r="U135" s="80">
        <v>1.0204726</v>
      </c>
      <c r="V135" s="80">
        <v>1.0567435999999999</v>
      </c>
      <c r="W135" s="80">
        <v>1.0915964</v>
      </c>
      <c r="X135" s="14"/>
    </row>
    <row r="136" spans="1:24" ht="15.75" customHeight="1" x14ac:dyDescent="0.25">
      <c r="A136" s="59" t="s">
        <v>13</v>
      </c>
      <c r="B136" s="4" t="s">
        <v>204</v>
      </c>
      <c r="C136" s="80">
        <v>7.3846194199263197E-3</v>
      </c>
      <c r="D136" s="80">
        <v>7.5644601312248099E-3</v>
      </c>
      <c r="E136" s="80">
        <v>7.7486805782417097E-3</v>
      </c>
      <c r="F136" s="80">
        <v>7.9373874225044695E-3</v>
      </c>
      <c r="G136" s="80">
        <v>8.1306899231130998E-3</v>
      </c>
      <c r="H136" s="80">
        <v>8.3286999999999996E-3</v>
      </c>
      <c r="I136" s="80">
        <v>8.0096999999999998E-3</v>
      </c>
      <c r="J136" s="78">
        <v>8.2018999999999998E-3</v>
      </c>
      <c r="K136" s="78">
        <v>8.3578000000000003E-3</v>
      </c>
      <c r="L136" s="78">
        <v>8.3084999999999999E-3</v>
      </c>
      <c r="M136" s="78">
        <v>8.6896999999999999E-3</v>
      </c>
      <c r="N136" s="78">
        <v>8.9218000000000006E-3</v>
      </c>
      <c r="O136" s="78">
        <v>9.1435000000000006E-3</v>
      </c>
      <c r="P136" s="78">
        <v>9.4634999999999997E-3</v>
      </c>
      <c r="Q136" s="78">
        <v>9.9033999999999997E-3</v>
      </c>
      <c r="R136" s="78">
        <v>1.01248E-2</v>
      </c>
      <c r="S136" s="78">
        <v>1.0015400000000001E-2</v>
      </c>
      <c r="T136" s="78">
        <v>1.0482E-2</v>
      </c>
      <c r="U136" s="78">
        <v>1.0787E-2</v>
      </c>
      <c r="V136" s="78">
        <v>1.1457500000000001E-2</v>
      </c>
      <c r="W136" s="78">
        <v>1.18479E-2</v>
      </c>
      <c r="X136" s="14"/>
    </row>
    <row r="137" spans="1:24" ht="15.75" customHeight="1" x14ac:dyDescent="0.25">
      <c r="A137" s="59" t="s">
        <v>205</v>
      </c>
      <c r="B137" s="13" t="s">
        <v>204</v>
      </c>
      <c r="C137" s="78">
        <v>2.0755561302427599E-2</v>
      </c>
      <c r="D137" s="78">
        <v>2.23432483273934E-2</v>
      </c>
      <c r="E137" s="78">
        <v>2.4052384734166699E-2</v>
      </c>
      <c r="F137" s="78">
        <v>2.5892260736819401E-2</v>
      </c>
      <c r="G137" s="78">
        <v>2.78728772000356E-2</v>
      </c>
      <c r="H137" s="78">
        <v>3.0005E-2</v>
      </c>
      <c r="I137" s="78">
        <v>3.18786E-2</v>
      </c>
      <c r="J137" s="78">
        <v>3.3744299999999998E-2</v>
      </c>
      <c r="K137" s="78">
        <v>3.6718500000000001E-2</v>
      </c>
      <c r="L137" s="78">
        <v>3.9242100000000002E-2</v>
      </c>
      <c r="M137" s="78">
        <v>3.94749E-2</v>
      </c>
      <c r="N137" s="78">
        <v>4.3014900000000002E-2</v>
      </c>
      <c r="O137" s="78">
        <v>4.5154699999999999E-2</v>
      </c>
      <c r="P137" s="78">
        <v>4.8858400000000003E-2</v>
      </c>
      <c r="Q137" s="78">
        <v>5.4362000000000001E-2</v>
      </c>
      <c r="R137" s="78">
        <v>5.8852599999999998E-2</v>
      </c>
      <c r="S137" s="78">
        <v>6.2469700000000003E-2</v>
      </c>
      <c r="T137" s="78">
        <v>6.7154599999999995E-2</v>
      </c>
      <c r="U137" s="78">
        <v>7.3787400000000003E-2</v>
      </c>
      <c r="V137" s="78">
        <v>7.8254000000000004E-2</v>
      </c>
      <c r="W137" s="78">
        <v>8.4022200000000005E-2</v>
      </c>
      <c r="X137" s="14"/>
    </row>
    <row r="138" spans="1:24" ht="15.75" customHeight="1" x14ac:dyDescent="0.25">
      <c r="A138" s="6" t="s">
        <v>15</v>
      </c>
      <c r="B138" s="13" t="s">
        <v>204</v>
      </c>
      <c r="C138" s="78">
        <v>2.0760889860613099E-4</v>
      </c>
      <c r="D138" s="78">
        <v>2.18011155677108E-4</v>
      </c>
      <c r="E138" s="78">
        <v>2.28934618500329E-4</v>
      </c>
      <c r="F138" s="78">
        <v>2.40405402123166E-4</v>
      </c>
      <c r="G138" s="78">
        <v>2.5245093008910001E-4</v>
      </c>
      <c r="H138" s="78">
        <v>2.6509999999999999E-4</v>
      </c>
      <c r="I138" s="78">
        <v>2.6509999999999999E-4</v>
      </c>
      <c r="J138" s="78">
        <v>2.6509999999999999E-4</v>
      </c>
      <c r="K138" s="78">
        <v>2.6509999999999999E-4</v>
      </c>
      <c r="L138" s="78">
        <v>2.6509999999999999E-4</v>
      </c>
      <c r="M138" s="78">
        <v>2.6509999999999999E-4</v>
      </c>
      <c r="N138" s="78">
        <v>2.6509999999999999E-4</v>
      </c>
      <c r="O138" s="78">
        <v>2.6739999999999999E-4</v>
      </c>
      <c r="P138" s="78">
        <v>2.6739999999999999E-4</v>
      </c>
      <c r="Q138" s="78">
        <v>2.6909999999999998E-4</v>
      </c>
      <c r="R138" s="78">
        <v>2.7070000000000002E-4</v>
      </c>
      <c r="S138" s="78">
        <v>5.2510000000000002E-4</v>
      </c>
      <c r="T138" s="78">
        <v>5.2769999999999998E-4</v>
      </c>
      <c r="U138" s="78">
        <v>5.2649999999999995E-4</v>
      </c>
      <c r="V138" s="78">
        <v>5.2729999999999997E-4</v>
      </c>
      <c r="W138" s="78">
        <v>5.3339999999999995E-4</v>
      </c>
      <c r="X138" s="14"/>
    </row>
    <row r="139" spans="1:24" ht="15.75" customHeight="1" x14ac:dyDescent="0.25">
      <c r="A139" s="6" t="s">
        <v>16</v>
      </c>
      <c r="B139" s="13" t="s">
        <v>204</v>
      </c>
      <c r="C139" s="78">
        <v>4.5570622753930796E-3</v>
      </c>
      <c r="D139" s="78">
        <v>5.9479760663511804E-3</v>
      </c>
      <c r="E139" s="78">
        <v>7.7634267753856302E-3</v>
      </c>
      <c r="F139" s="78">
        <v>1.0132992235415601E-2</v>
      </c>
      <c r="G139" s="78">
        <v>1.32258002314826E-2</v>
      </c>
      <c r="H139" s="78">
        <v>1.7262599999999999E-2</v>
      </c>
      <c r="I139" s="78">
        <v>2.3892099999999999E-2</v>
      </c>
      <c r="J139" s="78">
        <v>3.06214E-2</v>
      </c>
      <c r="K139" s="78">
        <v>3.8160600000000003E-2</v>
      </c>
      <c r="L139" s="78">
        <v>4.6517700000000002E-2</v>
      </c>
      <c r="M139" s="78">
        <v>5.7833000000000002E-2</v>
      </c>
      <c r="N139" s="78">
        <v>7.2397299999999998E-2</v>
      </c>
      <c r="O139" s="78">
        <v>9.2458799999999994E-2</v>
      </c>
      <c r="P139" s="78">
        <v>0.1182237</v>
      </c>
      <c r="Q139" s="78">
        <v>0.147983</v>
      </c>
      <c r="R139" s="78">
        <v>0.17954010000000001</v>
      </c>
      <c r="S139" s="78">
        <v>0.21826190000000001</v>
      </c>
      <c r="T139" s="78">
        <v>0.26633960000000001</v>
      </c>
      <c r="U139" s="78">
        <v>0.29612450000000001</v>
      </c>
      <c r="V139" s="78">
        <v>0.34173100000000001</v>
      </c>
      <c r="W139" s="78">
        <v>0.40366730000000001</v>
      </c>
      <c r="X139" s="14"/>
    </row>
    <row r="140" spans="1:24" ht="15.75" customHeight="1" x14ac:dyDescent="0.25">
      <c r="A140" s="6" t="s">
        <v>206</v>
      </c>
      <c r="B140" s="13" t="s">
        <v>204</v>
      </c>
      <c r="C140" s="78">
        <v>4.7771042047693702E-6</v>
      </c>
      <c r="D140" s="78">
        <v>8.1011510967819597E-6</v>
      </c>
      <c r="E140" s="78">
        <v>1.37381656919623E-5</v>
      </c>
      <c r="F140" s="78">
        <v>2.3297577631255799E-5</v>
      </c>
      <c r="G140" s="78">
        <v>3.9508704120663598E-5</v>
      </c>
      <c r="H140" s="78">
        <v>6.7000000000000002E-5</v>
      </c>
      <c r="I140" s="78">
        <v>7.7000000000000001E-5</v>
      </c>
      <c r="J140" s="78">
        <v>2.3699999999999999E-4</v>
      </c>
      <c r="K140" s="78">
        <v>5.0719999999999997E-4</v>
      </c>
      <c r="L140" s="78">
        <v>5.9739999999999999E-4</v>
      </c>
      <c r="M140" s="78">
        <v>6.8440000000000005E-4</v>
      </c>
      <c r="N140" s="78">
        <v>8.8340000000000001E-4</v>
      </c>
      <c r="O140" s="78">
        <v>1.0939000000000001E-3</v>
      </c>
      <c r="P140" s="78">
        <v>1.4419000000000001E-3</v>
      </c>
      <c r="Q140" s="78">
        <v>2.1586999999999999E-3</v>
      </c>
      <c r="R140" s="78">
        <v>3.1435E-3</v>
      </c>
      <c r="S140" s="78">
        <v>3.7905E-3</v>
      </c>
      <c r="T140" s="78">
        <v>5.3740999999999997E-3</v>
      </c>
      <c r="U140" s="78">
        <v>7.5502E-3</v>
      </c>
      <c r="V140" s="78">
        <v>8.4936999999999999E-3</v>
      </c>
      <c r="W140" s="78">
        <v>1.16367E-2</v>
      </c>
      <c r="X140" s="14"/>
    </row>
    <row r="141" spans="1:24" ht="15.75" customHeight="1" x14ac:dyDescent="0.25">
      <c r="A141" s="6" t="s">
        <v>18</v>
      </c>
      <c r="B141" s="13" t="s">
        <v>204</v>
      </c>
      <c r="C141" s="78">
        <v>3.9210437667487598E-5</v>
      </c>
      <c r="D141" s="78">
        <v>7.1738278763115398E-5</v>
      </c>
      <c r="E141" s="78">
        <v>1.31250272785446E-4</v>
      </c>
      <c r="F141" s="78">
        <v>2.4013168984911599E-4</v>
      </c>
      <c r="G141" s="78">
        <v>4.3933797047457601E-4</v>
      </c>
      <c r="H141" s="78">
        <v>8.0380000000000002E-4</v>
      </c>
      <c r="I141" s="78">
        <v>1.0862999999999999E-3</v>
      </c>
      <c r="J141" s="78">
        <v>1.4352E-3</v>
      </c>
      <c r="K141" s="78">
        <v>1.9645000000000001E-3</v>
      </c>
      <c r="L141" s="78">
        <v>3.0528E-3</v>
      </c>
      <c r="M141" s="78">
        <v>4.5056000000000002E-3</v>
      </c>
      <c r="N141" s="78">
        <v>6.0834000000000001E-3</v>
      </c>
      <c r="O141" s="78">
        <v>8.6420999999999998E-3</v>
      </c>
      <c r="P141" s="78">
        <v>1.45796E-2</v>
      </c>
      <c r="Q141" s="78">
        <v>2.2431900000000001E-2</v>
      </c>
      <c r="R141" s="78">
        <v>3.8792500000000001E-2</v>
      </c>
      <c r="S141" s="78">
        <v>6.9376699999999999E-2</v>
      </c>
      <c r="T141" s="78">
        <v>9.8946999999999993E-2</v>
      </c>
      <c r="U141" s="78">
        <v>0.13539889999999999</v>
      </c>
      <c r="V141" s="78">
        <v>0.17189550000000001</v>
      </c>
      <c r="W141" s="78">
        <v>0.21929660000000001</v>
      </c>
      <c r="X141" s="14"/>
    </row>
    <row r="142" spans="1:24" ht="15.75" customHeight="1" x14ac:dyDescent="0.25">
      <c r="A142" s="6" t="s">
        <v>207</v>
      </c>
      <c r="B142" s="13" t="s">
        <v>204</v>
      </c>
      <c r="C142" s="78">
        <v>3.5379999999999998E-4</v>
      </c>
      <c r="D142" s="78">
        <v>3.5379999999999998E-4</v>
      </c>
      <c r="E142" s="78">
        <v>3.5379999999999998E-4</v>
      </c>
      <c r="F142" s="78">
        <v>3.5379999999999998E-4</v>
      </c>
      <c r="G142" s="78">
        <v>3.5379999999999998E-4</v>
      </c>
      <c r="H142" s="78">
        <v>3.5379999999999998E-4</v>
      </c>
      <c r="I142" s="78">
        <v>3.5379999999999998E-4</v>
      </c>
      <c r="J142" s="78">
        <v>3.5379999999999998E-4</v>
      </c>
      <c r="K142" s="78">
        <v>3.5379999999999998E-4</v>
      </c>
      <c r="L142" s="78">
        <v>3.5379999999999998E-4</v>
      </c>
      <c r="M142" s="78">
        <v>3.5379999999999998E-4</v>
      </c>
      <c r="N142" s="78">
        <v>3.4099999999999999E-4</v>
      </c>
      <c r="O142" s="78">
        <v>4.2400000000000001E-4</v>
      </c>
      <c r="P142" s="78">
        <v>4.8040000000000002E-4</v>
      </c>
      <c r="Q142" s="78">
        <v>8.0769999999999995E-4</v>
      </c>
      <c r="R142" s="78">
        <v>1.1608199999999999E-3</v>
      </c>
      <c r="S142" s="78">
        <v>1.67582E-3</v>
      </c>
      <c r="T142" s="78">
        <v>2.5330700000000001E-3</v>
      </c>
      <c r="U142" s="78">
        <v>3.2809200000000001E-3</v>
      </c>
      <c r="V142" s="78">
        <v>4.3380199999999997E-3</v>
      </c>
      <c r="W142" s="78">
        <v>4.69302E-3</v>
      </c>
      <c r="X142" s="14"/>
    </row>
    <row r="143" spans="1:24" ht="15.75" customHeight="1" x14ac:dyDescent="0.25">
      <c r="A143" s="95" t="s">
        <v>208</v>
      </c>
      <c r="B143" s="4" t="s">
        <v>204</v>
      </c>
      <c r="C143" s="80">
        <v>9.1630004362324297E-2</v>
      </c>
      <c r="D143" s="80">
        <v>9.3380005637537705E-2</v>
      </c>
      <c r="E143" s="80">
        <v>9.1570004476299496E-2</v>
      </c>
      <c r="F143" s="80">
        <v>9.5060004532392994E-2</v>
      </c>
      <c r="G143" s="80">
        <v>9.6380003256145805E-2</v>
      </c>
      <c r="H143" s="80">
        <v>9.7970004199510394E-2</v>
      </c>
      <c r="I143" s="80">
        <v>9.9380003724600999E-2</v>
      </c>
      <c r="J143" s="80">
        <v>9.8850005635386304E-2</v>
      </c>
      <c r="K143" s="80">
        <v>9.8410005318848401E-2</v>
      </c>
      <c r="L143" s="80">
        <v>0.102080005003214</v>
      </c>
      <c r="M143" s="80">
        <v>0.103850004442362</v>
      </c>
      <c r="N143" s="80">
        <v>0.10771000355781001</v>
      </c>
      <c r="O143" s="80">
        <v>0.112910003772387</v>
      </c>
      <c r="P143" s="80">
        <v>0.117070004867921</v>
      </c>
      <c r="Q143" s="80">
        <v>0.12167000599687</v>
      </c>
      <c r="R143" s="80">
        <v>0.12355000709467601</v>
      </c>
      <c r="S143" s="80">
        <v>0.130110007937634</v>
      </c>
      <c r="T143" s="80">
        <v>0.132230006731795</v>
      </c>
      <c r="U143" s="80">
        <v>0.13327926094259601</v>
      </c>
      <c r="V143" s="80">
        <v>0.134555220531522</v>
      </c>
      <c r="W143" s="80">
        <v>0.13798903549967501</v>
      </c>
      <c r="X143" s="14"/>
    </row>
    <row r="144" spans="1:24" ht="15.75" customHeight="1" x14ac:dyDescent="0.25">
      <c r="A144" s="93" t="s">
        <v>209</v>
      </c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</row>
    <row r="145" spans="1:28" ht="15.75" customHeight="1" x14ac:dyDescent="0.25">
      <c r="A145" s="77" t="s">
        <v>210</v>
      </c>
      <c r="B145" s="4" t="s">
        <v>80</v>
      </c>
      <c r="C145" s="80">
        <v>0</v>
      </c>
      <c r="D145" s="96">
        <f t="shared" ref="D145:W145" si="3">D141/1000000</f>
        <v>7.17382787631154E-11</v>
      </c>
      <c r="E145" s="96">
        <f t="shared" si="3"/>
        <v>1.31250272785446E-10</v>
      </c>
      <c r="F145" s="96">
        <f t="shared" si="3"/>
        <v>2.4013168984911601E-10</v>
      </c>
      <c r="G145" s="96">
        <f t="shared" si="3"/>
        <v>4.3933797047457602E-10</v>
      </c>
      <c r="H145" s="96">
        <f t="shared" si="3"/>
        <v>8.0380000000000006E-10</v>
      </c>
      <c r="I145" s="96">
        <f t="shared" si="3"/>
        <v>1.0862999999999999E-9</v>
      </c>
      <c r="J145" s="96">
        <f t="shared" si="3"/>
        <v>1.4352E-9</v>
      </c>
      <c r="K145" s="96">
        <f t="shared" si="3"/>
        <v>1.9645E-9</v>
      </c>
      <c r="L145" s="96">
        <f t="shared" si="3"/>
        <v>3.0528E-9</v>
      </c>
      <c r="M145" s="96">
        <f t="shared" si="3"/>
        <v>4.5055999999999998E-9</v>
      </c>
      <c r="N145" s="96">
        <f t="shared" si="3"/>
        <v>6.0833999999999999E-9</v>
      </c>
      <c r="O145" s="96">
        <f t="shared" si="3"/>
        <v>8.6420999999999993E-9</v>
      </c>
      <c r="P145" s="96">
        <f t="shared" si="3"/>
        <v>1.45796E-8</v>
      </c>
      <c r="Q145" s="96">
        <f t="shared" si="3"/>
        <v>2.24319E-8</v>
      </c>
      <c r="R145" s="97">
        <f t="shared" si="3"/>
        <v>3.8792500000000001E-8</v>
      </c>
      <c r="S145" s="97">
        <f t="shared" si="3"/>
        <v>6.9376699999999997E-8</v>
      </c>
      <c r="T145" s="97">
        <f t="shared" si="3"/>
        <v>9.8946999999999993E-8</v>
      </c>
      <c r="U145" s="97">
        <f t="shared" si="3"/>
        <v>1.3539889999999999E-7</v>
      </c>
      <c r="V145" s="97">
        <f t="shared" si="3"/>
        <v>1.7189550000000001E-7</v>
      </c>
      <c r="W145" s="97">
        <f t="shared" si="3"/>
        <v>2.1929660000000001E-7</v>
      </c>
      <c r="X145" s="98"/>
      <c r="Y145" s="44" t="s">
        <v>211</v>
      </c>
    </row>
    <row r="146" spans="1:28" ht="15.75" customHeight="1" x14ac:dyDescent="0.25">
      <c r="A146" s="77" t="s">
        <v>212</v>
      </c>
      <c r="B146" s="4" t="s">
        <v>80</v>
      </c>
      <c r="C146" s="80">
        <v>0</v>
      </c>
      <c r="D146" s="96">
        <f t="shared" ref="D146:W146" si="4">D142/1000000</f>
        <v>3.5379999999999996E-10</v>
      </c>
      <c r="E146" s="96">
        <f t="shared" si="4"/>
        <v>3.5379999999999996E-10</v>
      </c>
      <c r="F146" s="96">
        <f t="shared" si="4"/>
        <v>3.5379999999999996E-10</v>
      </c>
      <c r="G146" s="96">
        <f t="shared" si="4"/>
        <v>3.5379999999999996E-10</v>
      </c>
      <c r="H146" s="96">
        <f t="shared" si="4"/>
        <v>3.5379999999999996E-10</v>
      </c>
      <c r="I146" s="96">
        <f t="shared" si="4"/>
        <v>3.5379999999999996E-10</v>
      </c>
      <c r="J146" s="96">
        <f t="shared" si="4"/>
        <v>3.5379999999999996E-10</v>
      </c>
      <c r="K146" s="96">
        <f t="shared" si="4"/>
        <v>3.5379999999999996E-10</v>
      </c>
      <c r="L146" s="96">
        <f t="shared" si="4"/>
        <v>3.5379999999999996E-10</v>
      </c>
      <c r="M146" s="96">
        <f t="shared" si="4"/>
        <v>3.5379999999999996E-10</v>
      </c>
      <c r="N146" s="96">
        <f t="shared" si="4"/>
        <v>3.4100000000000001E-10</v>
      </c>
      <c r="O146" s="96">
        <f t="shared" si="4"/>
        <v>4.2399999999999998E-10</v>
      </c>
      <c r="P146" s="96">
        <f t="shared" si="4"/>
        <v>4.8040000000000002E-10</v>
      </c>
      <c r="Q146" s="96">
        <f t="shared" si="4"/>
        <v>8.0769999999999991E-10</v>
      </c>
      <c r="R146" s="97">
        <f t="shared" si="4"/>
        <v>1.1608199999999999E-9</v>
      </c>
      <c r="S146" s="97">
        <f t="shared" si="4"/>
        <v>1.6758199999999999E-9</v>
      </c>
      <c r="T146" s="97">
        <f t="shared" si="4"/>
        <v>2.5330700000000002E-9</v>
      </c>
      <c r="U146" s="97">
        <f t="shared" si="4"/>
        <v>3.2809200000000003E-9</v>
      </c>
      <c r="V146" s="97">
        <f t="shared" si="4"/>
        <v>4.3380199999999995E-9</v>
      </c>
      <c r="W146" s="97">
        <f t="shared" si="4"/>
        <v>4.69302E-9</v>
      </c>
      <c r="X146" s="98"/>
    </row>
    <row r="147" spans="1:28" ht="15.75" customHeight="1" x14ac:dyDescent="0.25">
      <c r="A147" s="77" t="s">
        <v>213</v>
      </c>
      <c r="B147" s="4" t="s">
        <v>80</v>
      </c>
      <c r="C147" s="80">
        <v>17.864744510000001</v>
      </c>
      <c r="D147" s="96">
        <v>18.642216099999999</v>
      </c>
      <c r="E147" s="96">
        <v>19.669279509999999</v>
      </c>
      <c r="F147" s="96">
        <v>19.482172169999998</v>
      </c>
      <c r="G147" s="96">
        <v>20.125920090000001</v>
      </c>
      <c r="H147" s="96">
        <v>20.309394919999999</v>
      </c>
      <c r="I147" s="96">
        <v>20.61944433</v>
      </c>
      <c r="J147" s="96">
        <v>21.341370569999999</v>
      </c>
      <c r="K147" s="96">
        <v>22.061055700000001</v>
      </c>
      <c r="L147" s="96">
        <v>23.329663050000001</v>
      </c>
      <c r="M147" s="96">
        <v>23.355337599999999</v>
      </c>
      <c r="N147" s="96">
        <v>24.13715367</v>
      </c>
      <c r="O147" s="96">
        <v>24.616445299999999</v>
      </c>
      <c r="P147" s="96">
        <v>23.631628339999999</v>
      </c>
      <c r="Q147" s="96">
        <v>23.839961540000001</v>
      </c>
      <c r="R147" s="97">
        <v>23.839961540000001</v>
      </c>
      <c r="S147" s="97">
        <v>23.839961540000001</v>
      </c>
      <c r="T147" s="97">
        <v>23.839961540000001</v>
      </c>
      <c r="U147" s="97">
        <v>23.839961540000001</v>
      </c>
      <c r="V147" s="97">
        <v>23.839961540000001</v>
      </c>
      <c r="W147" s="97">
        <v>23.839961540000001</v>
      </c>
      <c r="X147" s="98"/>
    </row>
    <row r="148" spans="1:28" ht="15.75" customHeight="1" x14ac:dyDescent="0.25">
      <c r="A148" s="77" t="s">
        <v>214</v>
      </c>
      <c r="B148" s="4" t="s">
        <v>80</v>
      </c>
      <c r="C148" s="80">
        <v>3.74572862</v>
      </c>
      <c r="D148" s="96">
        <v>3.7529589300000001</v>
      </c>
      <c r="E148" s="96">
        <v>4.0314329200000003</v>
      </c>
      <c r="F148" s="96">
        <v>4.0546653900000003</v>
      </c>
      <c r="G148" s="96">
        <v>4.1766724200000001</v>
      </c>
      <c r="H148" s="96">
        <v>4.4720185099999998</v>
      </c>
      <c r="I148" s="96">
        <v>4.3420209200000004</v>
      </c>
      <c r="J148" s="96">
        <v>4.3756594700000004</v>
      </c>
      <c r="K148" s="96">
        <v>4.4516014899999998</v>
      </c>
      <c r="L148" s="96">
        <v>4.7861361100000002</v>
      </c>
      <c r="M148" s="96">
        <v>5.14473235</v>
      </c>
      <c r="N148" s="96">
        <v>5.00779145</v>
      </c>
      <c r="O148" s="96">
        <v>5.3063370900000004</v>
      </c>
      <c r="P148" s="96">
        <v>5.3385370600000002</v>
      </c>
      <c r="Q148" s="96">
        <v>5.4843511999999999</v>
      </c>
      <c r="R148" s="97">
        <v>5.4843511999999999</v>
      </c>
      <c r="S148" s="97">
        <v>5.4843511999999999</v>
      </c>
      <c r="T148" s="97">
        <v>5.4843511999999999</v>
      </c>
      <c r="U148" s="97">
        <v>5.4843511999999999</v>
      </c>
      <c r="V148" s="97">
        <v>5.4843511999999999</v>
      </c>
      <c r="W148" s="97">
        <v>5.4843511999999999</v>
      </c>
      <c r="X148" s="98"/>
    </row>
    <row r="149" spans="1:28" ht="15.75" customHeight="1" x14ac:dyDescent="0.25">
      <c r="A149" s="77" t="s">
        <v>215</v>
      </c>
      <c r="B149" s="4" t="s">
        <v>80</v>
      </c>
      <c r="C149" s="80">
        <v>0.86732781999999997</v>
      </c>
      <c r="D149" s="96">
        <v>0.90335096000000004</v>
      </c>
      <c r="E149" s="96">
        <v>0.81759914</v>
      </c>
      <c r="F149" s="96">
        <v>0.74229677999999999</v>
      </c>
      <c r="G149" s="96">
        <v>0.68570774000000001</v>
      </c>
      <c r="H149" s="96">
        <v>1.03101072</v>
      </c>
      <c r="I149" s="96">
        <v>1.01775427</v>
      </c>
      <c r="J149" s="96">
        <v>1.08015287</v>
      </c>
      <c r="K149" s="96">
        <v>1.18593028</v>
      </c>
      <c r="L149" s="96">
        <v>1.2922654099999999</v>
      </c>
      <c r="M149" s="96">
        <v>1.4364099400000001</v>
      </c>
      <c r="N149" s="96">
        <v>1.6726974400000001</v>
      </c>
      <c r="O149" s="96">
        <v>1.7306662799999999</v>
      </c>
      <c r="P149" s="96">
        <v>1.74080181</v>
      </c>
      <c r="Q149" s="96">
        <v>1.78348197</v>
      </c>
      <c r="R149" s="97">
        <v>1.78348197</v>
      </c>
      <c r="S149" s="97">
        <v>1.78348197</v>
      </c>
      <c r="T149" s="97">
        <v>1.78348197</v>
      </c>
      <c r="U149" s="97">
        <v>1.78348197</v>
      </c>
      <c r="V149" s="97">
        <v>1.78348197</v>
      </c>
      <c r="W149" s="97">
        <v>1.78348197</v>
      </c>
      <c r="X149" s="98"/>
    </row>
    <row r="150" spans="1:28" ht="15.75" customHeight="1" x14ac:dyDescent="0.25">
      <c r="A150" s="93" t="s">
        <v>216</v>
      </c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</row>
    <row r="151" spans="1:28" ht="15.75" customHeight="1" x14ac:dyDescent="0.25">
      <c r="A151" s="77" t="s">
        <v>217</v>
      </c>
      <c r="B151" s="4" t="s">
        <v>8</v>
      </c>
      <c r="C151" s="99">
        <v>3.8436874766076502E-3</v>
      </c>
      <c r="D151" s="99">
        <v>3.4897425337877602E-3</v>
      </c>
      <c r="E151" s="99">
        <v>2.7225260873578899E-3</v>
      </c>
      <c r="F151" s="99">
        <v>2.6049521185396601E-3</v>
      </c>
      <c r="G151" s="99">
        <v>2.6362712696692699E-3</v>
      </c>
      <c r="H151" s="99">
        <v>1.09858576919988E-3</v>
      </c>
      <c r="I151" s="99">
        <v>6.9809688898706999E-4</v>
      </c>
      <c r="J151" s="99">
        <v>6.73720034528424E-4</v>
      </c>
      <c r="K151" s="99">
        <v>8.5838822458163505E-4</v>
      </c>
      <c r="L151" s="99">
        <v>9.0236721279447502E-4</v>
      </c>
      <c r="M151" s="99">
        <v>9.5681533340684702E-4</v>
      </c>
      <c r="N151" s="99">
        <v>8.95509784215912E-4</v>
      </c>
      <c r="O151" s="99">
        <v>1.0495767208806E-3</v>
      </c>
      <c r="P151" s="99">
        <v>8.1084395998394304E-4</v>
      </c>
      <c r="Q151" s="99">
        <v>6.34272550504035E-4</v>
      </c>
      <c r="R151" s="100">
        <v>6.34272550504035E-4</v>
      </c>
      <c r="S151" s="100">
        <v>6.34272550504035E-4</v>
      </c>
      <c r="T151" s="100">
        <v>6.34272550504035E-4</v>
      </c>
      <c r="U151" s="100">
        <v>6.34272550504035E-4</v>
      </c>
      <c r="V151" s="100">
        <v>6.34272550504035E-4</v>
      </c>
      <c r="W151" s="100">
        <v>6.34272550504035E-4</v>
      </c>
      <c r="X151" s="101"/>
      <c r="Y151" s="44" t="s">
        <v>211</v>
      </c>
    </row>
    <row r="152" spans="1:28" ht="15.75" customHeight="1" x14ac:dyDescent="0.25">
      <c r="A152" s="77" t="s">
        <v>218</v>
      </c>
      <c r="B152" s="4" t="s">
        <v>8</v>
      </c>
      <c r="C152" s="99">
        <v>1.27397893739262E-3</v>
      </c>
      <c r="D152" s="99">
        <v>1.7486800026021399E-3</v>
      </c>
      <c r="E152" s="99">
        <v>1.3106160395248E-3</v>
      </c>
      <c r="F152" s="99">
        <v>1.5007993499810499E-3</v>
      </c>
      <c r="G152" s="99">
        <v>1.5448879729707101E-3</v>
      </c>
      <c r="H152" s="99">
        <v>1.7210004587693501E-3</v>
      </c>
      <c r="I152" s="99">
        <v>1.6050651209882901E-3</v>
      </c>
      <c r="J152" s="99">
        <v>1.60846280712765E-3</v>
      </c>
      <c r="K152" s="99">
        <v>1.6644010289518099E-3</v>
      </c>
      <c r="L152" s="99">
        <v>1.60838659542131E-3</v>
      </c>
      <c r="M152" s="99">
        <v>1.70998818298061E-3</v>
      </c>
      <c r="N152" s="99">
        <v>1.82556976739782E-3</v>
      </c>
      <c r="O152" s="99">
        <v>1.56853553025941E-3</v>
      </c>
      <c r="P152" s="99">
        <v>1.8991216520622401E-3</v>
      </c>
      <c r="Q152" s="99">
        <v>1.75002632244064E-3</v>
      </c>
      <c r="R152" s="100">
        <v>1.75002632244064E-3</v>
      </c>
      <c r="S152" s="100">
        <v>1.75002632244064E-3</v>
      </c>
      <c r="T152" s="100">
        <v>1.75002632244064E-3</v>
      </c>
      <c r="U152" s="100">
        <v>1.75002632244064E-3</v>
      </c>
      <c r="V152" s="100">
        <v>1.75002632244064E-3</v>
      </c>
      <c r="W152" s="100">
        <v>1.75002632244064E-3</v>
      </c>
      <c r="X152" s="101"/>
    </row>
    <row r="153" spans="1:28" ht="15.75" customHeight="1" x14ac:dyDescent="0.25">
      <c r="A153" s="77" t="s">
        <v>219</v>
      </c>
      <c r="B153" s="4" t="s">
        <v>8</v>
      </c>
      <c r="C153" s="99">
        <v>9.4228962567834106E-3</v>
      </c>
      <c r="D153" s="99">
        <v>1.0421118505311E-2</v>
      </c>
      <c r="E153" s="99">
        <v>8.9441630465612702E-3</v>
      </c>
      <c r="F153" s="99">
        <v>8.9474144386664598E-3</v>
      </c>
      <c r="G153" s="99">
        <v>8.6705927269804493E-3</v>
      </c>
      <c r="H153" s="99">
        <v>8.90485507510092E-3</v>
      </c>
      <c r="I153" s="99">
        <v>7.8455165742540908E-3</v>
      </c>
      <c r="J153" s="99">
        <v>7.0858660702357197E-3</v>
      </c>
      <c r="K153" s="99">
        <v>6.6396249810431497E-3</v>
      </c>
      <c r="L153" s="99">
        <v>7.05250226386318E-3</v>
      </c>
      <c r="M153" s="99">
        <v>9.3413700511471506E-3</v>
      </c>
      <c r="N153" s="99">
        <v>9.4871192482330301E-3</v>
      </c>
      <c r="O153" s="99">
        <v>7.68965017405592E-3</v>
      </c>
      <c r="P153" s="99">
        <v>8.05866292693945E-3</v>
      </c>
      <c r="Q153" s="99">
        <v>7.8262236523920399E-3</v>
      </c>
      <c r="R153" s="100">
        <v>7.8262236523920399E-3</v>
      </c>
      <c r="S153" s="100">
        <v>7.8262236523920399E-3</v>
      </c>
      <c r="T153" s="100">
        <v>7.8262236523920399E-3</v>
      </c>
      <c r="U153" s="100">
        <v>7.8262236523920399E-3</v>
      </c>
      <c r="V153" s="100">
        <v>7.8262236523920399E-3</v>
      </c>
      <c r="W153" s="100">
        <v>7.8262236523920399E-3</v>
      </c>
      <c r="X153" s="101"/>
    </row>
    <row r="154" spans="1:28" ht="15.75" customHeight="1" x14ac:dyDescent="0.25">
      <c r="A154" s="93" t="s">
        <v>220</v>
      </c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</row>
    <row r="155" spans="1:28" ht="15.75" customHeight="1" x14ac:dyDescent="0.25">
      <c r="A155" s="77" t="s">
        <v>221</v>
      </c>
      <c r="B155" s="4" t="s">
        <v>8</v>
      </c>
      <c r="C155" s="78">
        <v>1.60570638698708E-2</v>
      </c>
      <c r="D155" s="78">
        <v>1.33757045674027E-2</v>
      </c>
      <c r="E155" s="78">
        <v>1.1293799493538301E-2</v>
      </c>
      <c r="F155" s="78">
        <v>1.0143428482945799E-2</v>
      </c>
      <c r="G155" s="78">
        <v>1.1490351286760099E-2</v>
      </c>
      <c r="H155" s="78">
        <v>9.9446301136354096E-3</v>
      </c>
      <c r="I155" s="78">
        <v>9.1054575150749505E-3</v>
      </c>
      <c r="J155" s="78">
        <v>1.05024191672058E-2</v>
      </c>
      <c r="K155" s="78">
        <v>1.05480365242741E-2</v>
      </c>
      <c r="L155" s="78">
        <v>9.5936621196689997E-3</v>
      </c>
      <c r="M155" s="78">
        <v>1.0125399533825401E-2</v>
      </c>
      <c r="N155" s="78">
        <v>1.14054486847949E-2</v>
      </c>
      <c r="O155" s="78">
        <v>8.4761728405810897E-3</v>
      </c>
      <c r="P155" s="78">
        <v>9.9260043184363298E-3</v>
      </c>
      <c r="Q155" s="78">
        <v>1.3579021037404901E-2</v>
      </c>
      <c r="R155" s="78">
        <v>8.1880005640441594E-3</v>
      </c>
      <c r="S155" s="78">
        <v>9.2976134251318808E-3</v>
      </c>
      <c r="T155" s="78">
        <v>2.0291121242449799E-2</v>
      </c>
      <c r="U155" s="78">
        <v>1.5035909876251899E-2</v>
      </c>
      <c r="V155" s="78">
        <v>1.6112997624068599E-2</v>
      </c>
      <c r="W155" s="78"/>
      <c r="X155" s="14"/>
    </row>
    <row r="156" spans="1:28" ht="15.75" customHeight="1" x14ac:dyDescent="0.25">
      <c r="A156" s="77" t="s">
        <v>222</v>
      </c>
      <c r="B156" s="4" t="s">
        <v>8</v>
      </c>
      <c r="C156" s="78">
        <v>0.12808887489468501</v>
      </c>
      <c r="D156" s="78">
        <v>0.12419446569792</v>
      </c>
      <c r="E156" s="78">
        <v>0.125205043756937</v>
      </c>
      <c r="F156" s="78">
        <v>0.11935691213136899</v>
      </c>
      <c r="G156" s="78">
        <v>0.120168372107107</v>
      </c>
      <c r="H156" s="78">
        <v>0.12425103898165001</v>
      </c>
      <c r="I156" s="78">
        <v>0.118366571778177</v>
      </c>
      <c r="J156" s="78">
        <v>0.119800888948297</v>
      </c>
      <c r="K156" s="78">
        <v>0.122626307594371</v>
      </c>
      <c r="L156" s="78">
        <v>0.120040685830254</v>
      </c>
      <c r="M156" s="78">
        <v>0.121828310429089</v>
      </c>
      <c r="N156" s="78">
        <v>0.12607744886887901</v>
      </c>
      <c r="O156" s="78">
        <v>0.125891384600163</v>
      </c>
      <c r="P156" s="78">
        <v>0.122083716034732</v>
      </c>
      <c r="Q156" s="78">
        <v>0.121677224900716</v>
      </c>
      <c r="R156" s="78">
        <v>0.12530901446544801</v>
      </c>
      <c r="S156" s="78">
        <v>0.124992674202291</v>
      </c>
      <c r="T156" s="78">
        <v>0.127954954985883</v>
      </c>
      <c r="U156" s="78">
        <v>0.13301034356514199</v>
      </c>
      <c r="V156" s="78">
        <v>0.132184710661819</v>
      </c>
      <c r="W156" s="78"/>
      <c r="X156" s="14"/>
    </row>
    <row r="157" spans="1:28" ht="15.75" customHeight="1" x14ac:dyDescent="0.25">
      <c r="A157" s="77" t="s">
        <v>223</v>
      </c>
      <c r="B157" s="4" t="s">
        <v>8</v>
      </c>
      <c r="C157" s="78">
        <v>-0.46554367857654499</v>
      </c>
      <c r="D157" s="78">
        <v>-0.47767082024331697</v>
      </c>
      <c r="E157" s="78">
        <v>-0.46134654904891698</v>
      </c>
      <c r="F157" s="78">
        <v>-0.46389431444814999</v>
      </c>
      <c r="G157" s="78">
        <v>-0.45948854392071098</v>
      </c>
      <c r="H157" s="78">
        <v>-0.447182557172279</v>
      </c>
      <c r="I157" s="78">
        <v>-0.445085212634526</v>
      </c>
      <c r="J157" s="78">
        <v>-0.44818172240892401</v>
      </c>
      <c r="K157" s="78">
        <v>-0.43264382276329599</v>
      </c>
      <c r="L157" s="78">
        <v>-0.43190874162898002</v>
      </c>
      <c r="M157" s="78">
        <v>-0.44834834755156999</v>
      </c>
      <c r="N157" s="78">
        <v>-0.44555528830304902</v>
      </c>
      <c r="O157" s="78">
        <v>-0.44797554896002001</v>
      </c>
      <c r="P157" s="78">
        <v>-0.45012744230484703</v>
      </c>
      <c r="Q157" s="78">
        <v>-0.433323727977033</v>
      </c>
      <c r="R157" s="78">
        <v>-0.44871221929050298</v>
      </c>
      <c r="S157" s="78">
        <v>-0.44935728783907097</v>
      </c>
      <c r="T157" s="78">
        <v>-0.42914870047197801</v>
      </c>
      <c r="U157" s="78">
        <v>-0.42294886048265801</v>
      </c>
      <c r="V157" s="78">
        <v>-0.41998671659421899</v>
      </c>
      <c r="W157" s="78"/>
      <c r="X157" s="14"/>
    </row>
    <row r="158" spans="1:28" ht="15.75" customHeight="1" x14ac:dyDescent="0.25"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</row>
    <row r="159" spans="1:28" ht="15.75" customHeight="1" x14ac:dyDescent="0.25">
      <c r="A159" s="77" t="s">
        <v>224</v>
      </c>
      <c r="B159" s="4" t="s">
        <v>80</v>
      </c>
      <c r="C159" s="78">
        <v>0.94403358999999998</v>
      </c>
      <c r="D159" s="78">
        <v>0.92544406999999995</v>
      </c>
      <c r="E159" s="78">
        <v>0.96264395999999997</v>
      </c>
      <c r="F159" s="78">
        <v>0.97404579000000002</v>
      </c>
      <c r="G159" s="78">
        <v>1.0843876400000001</v>
      </c>
      <c r="H159" s="78">
        <v>1.2035175899999999</v>
      </c>
      <c r="I159" s="78">
        <v>1.19609214</v>
      </c>
      <c r="J159" s="78">
        <v>1.2452946600000001</v>
      </c>
      <c r="K159" s="78">
        <v>1.2445909799999999</v>
      </c>
      <c r="L159" s="78">
        <v>1.29713973</v>
      </c>
      <c r="M159" s="78">
        <v>1.34430356</v>
      </c>
      <c r="N159" s="78">
        <v>1.45837566</v>
      </c>
      <c r="O159" s="78">
        <v>1.48302204</v>
      </c>
      <c r="P159" s="78">
        <v>1.5124612399999999</v>
      </c>
      <c r="Q159" s="78">
        <v>1.57780579</v>
      </c>
      <c r="R159" s="78">
        <v>1.82496814</v>
      </c>
      <c r="S159" s="78">
        <v>1.9614048100000001</v>
      </c>
      <c r="T159" s="78">
        <v>2.0159874000000002</v>
      </c>
      <c r="U159" s="78">
        <v>2.0760628799999998</v>
      </c>
      <c r="V159" s="78">
        <v>2.1187926899999998</v>
      </c>
      <c r="W159" s="91">
        <v>2.1187926899999998</v>
      </c>
      <c r="X159" s="14"/>
      <c r="Z159" s="77" t="s">
        <v>225</v>
      </c>
      <c r="AA159" s="14" t="s">
        <v>8</v>
      </c>
      <c r="AB159" s="14">
        <v>4.4363405384274399E-2</v>
      </c>
    </row>
    <row r="160" spans="1:28" ht="15.75" customHeight="1" x14ac:dyDescent="0.25"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</row>
    <row r="161" spans="1:34" ht="15.75" customHeight="1" x14ac:dyDescent="0.25">
      <c r="A161" s="102" t="s">
        <v>226</v>
      </c>
      <c r="B161" s="14" t="s">
        <v>80</v>
      </c>
      <c r="C161" s="78">
        <v>22.156472000000001</v>
      </c>
      <c r="D161" s="78">
        <v>22.603071549999999</v>
      </c>
      <c r="E161" s="78">
        <v>23.773625549999998</v>
      </c>
      <c r="F161" s="78">
        <v>24.593724460000001</v>
      </c>
      <c r="G161" s="78">
        <v>24.100439120000001</v>
      </c>
      <c r="H161" s="78">
        <v>24.727904909999999</v>
      </c>
      <c r="I161" s="78">
        <v>25.161740250000001</v>
      </c>
      <c r="J161" s="78">
        <v>26.09361307</v>
      </c>
      <c r="K161" s="78">
        <v>27.61312513</v>
      </c>
      <c r="L161" s="78">
        <v>27.67487599</v>
      </c>
      <c r="M161" s="78">
        <v>28.95976941</v>
      </c>
      <c r="N161" s="78">
        <v>30.035727940000001</v>
      </c>
      <c r="O161" s="78">
        <v>31.332648769999999</v>
      </c>
      <c r="P161" s="78">
        <v>32.313933079999998</v>
      </c>
      <c r="Q161" s="78">
        <v>31.961682979999999</v>
      </c>
      <c r="R161" s="78">
        <v>33.752442199999997</v>
      </c>
      <c r="S161" s="78">
        <v>34.547427640000002</v>
      </c>
      <c r="T161" s="78">
        <v>34.461517350000001</v>
      </c>
      <c r="U161" s="78">
        <v>34.984601230000003</v>
      </c>
      <c r="V161" s="78">
        <v>34.885496660000001</v>
      </c>
      <c r="W161" s="78">
        <v>34.92262822</v>
      </c>
      <c r="X161" s="14"/>
    </row>
    <row r="162" spans="1:34" ht="15.75" customHeight="1" x14ac:dyDescent="0.25"/>
    <row r="163" spans="1:34" ht="15.75" customHeight="1" x14ac:dyDescent="0.25"/>
    <row r="164" spans="1:34" ht="15.75" customHeight="1" x14ac:dyDescent="0.25"/>
    <row r="165" spans="1:34" ht="15.75" customHeight="1" x14ac:dyDescent="0.25">
      <c r="A165" s="103" t="s">
        <v>227</v>
      </c>
      <c r="B165" s="291" t="s">
        <v>228</v>
      </c>
      <c r="C165" s="291" t="s">
        <v>388</v>
      </c>
      <c r="D165" s="291" t="s">
        <v>389</v>
      </c>
      <c r="E165" s="291" t="s">
        <v>390</v>
      </c>
      <c r="F165" s="291" t="s">
        <v>391</v>
      </c>
      <c r="G165" s="291" t="s">
        <v>272</v>
      </c>
      <c r="H165" s="291" t="s">
        <v>392</v>
      </c>
      <c r="I165" s="291" t="s">
        <v>393</v>
      </c>
      <c r="J165" s="291" t="s">
        <v>394</v>
      </c>
      <c r="K165" s="291" t="s">
        <v>395</v>
      </c>
      <c r="L165" s="291" t="s">
        <v>396</v>
      </c>
      <c r="M165" s="291" t="s">
        <v>397</v>
      </c>
      <c r="N165" s="291" t="s">
        <v>398</v>
      </c>
      <c r="O165" s="291" t="s">
        <v>399</v>
      </c>
      <c r="P165" s="291" t="s">
        <v>400</v>
      </c>
      <c r="Q165" s="291" t="s">
        <v>401</v>
      </c>
      <c r="R165" s="291" t="s">
        <v>402</v>
      </c>
    </row>
    <row r="166" spans="1:34" ht="15.75" customHeight="1" x14ac:dyDescent="0.25">
      <c r="A166" s="106" t="s">
        <v>245</v>
      </c>
      <c r="B166" s="44">
        <v>3.19497005188102E-3</v>
      </c>
      <c r="C166" s="44">
        <v>2.31590835963566E-2</v>
      </c>
      <c r="D166" s="44">
        <v>2.31590835963566E-2</v>
      </c>
      <c r="E166" s="44">
        <v>0</v>
      </c>
      <c r="F166" s="44">
        <v>0</v>
      </c>
      <c r="G166" s="44">
        <v>2.31590835963566E-2</v>
      </c>
      <c r="H166" s="44">
        <v>2.31590835963566E-2</v>
      </c>
      <c r="I166" s="44">
        <v>2.31590835963566E-2</v>
      </c>
      <c r="J166" s="44">
        <v>2.31590835963566E-2</v>
      </c>
      <c r="K166" s="44">
        <v>2.31590835963566E-2</v>
      </c>
      <c r="L166" s="44">
        <v>2.31590835963566E-2</v>
      </c>
      <c r="M166" s="44">
        <v>2.31590835963566E-2</v>
      </c>
      <c r="N166" s="44">
        <v>2.31590835963566E-2</v>
      </c>
      <c r="O166" s="44">
        <v>2.31590835963566E-2</v>
      </c>
      <c r="P166" s="44">
        <v>2.31590835963566E-2</v>
      </c>
      <c r="Q166" s="44">
        <v>2.31590835963566E-2</v>
      </c>
      <c r="R166" s="44">
        <v>2.31590835963566E-2</v>
      </c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</row>
    <row r="167" spans="1:34" ht="15.75" customHeight="1" x14ac:dyDescent="0.25">
      <c r="A167" s="106" t="s">
        <v>246</v>
      </c>
      <c r="B167" s="44">
        <v>7.8374948309083606E-2</v>
      </c>
      <c r="C167" s="44">
        <v>7.2226868088293095E-2</v>
      </c>
      <c r="D167" s="44">
        <v>7.2226868088293095E-2</v>
      </c>
      <c r="E167" s="44">
        <v>0</v>
      </c>
      <c r="F167" s="44">
        <v>0</v>
      </c>
      <c r="G167" s="44">
        <v>7.2226868088293095E-2</v>
      </c>
      <c r="H167" s="44">
        <v>7.2226868088293095E-2</v>
      </c>
      <c r="I167" s="44">
        <v>7.2226868088293095E-2</v>
      </c>
      <c r="J167" s="44">
        <v>7.2226868088293095E-2</v>
      </c>
      <c r="K167" s="44">
        <v>7.2226868088293095E-2</v>
      </c>
      <c r="L167" s="44">
        <v>7.2226868088293095E-2</v>
      </c>
      <c r="M167" s="44">
        <v>7.2226868088293095E-2</v>
      </c>
      <c r="N167" s="44">
        <v>7.2226868088293095E-2</v>
      </c>
      <c r="O167" s="44">
        <v>7.2226868088293095E-2</v>
      </c>
      <c r="P167" s="44">
        <v>7.2226868088293095E-2</v>
      </c>
      <c r="Q167" s="44">
        <v>7.2226868088293095E-2</v>
      </c>
      <c r="R167" s="44">
        <v>7.2226868088293095E-2</v>
      </c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</row>
    <row r="168" spans="1:34" ht="15.75" customHeight="1" x14ac:dyDescent="0.25">
      <c r="A168" s="106" t="s">
        <v>247</v>
      </c>
      <c r="B168" s="44">
        <v>8.59462824392432E-3</v>
      </c>
      <c r="C168" s="44">
        <v>5.4527601960244101E-2</v>
      </c>
      <c r="D168" s="44">
        <v>5.4527601960244101E-2</v>
      </c>
      <c r="E168" s="44">
        <v>0</v>
      </c>
      <c r="F168" s="44">
        <v>0</v>
      </c>
      <c r="G168" s="44">
        <v>5.4527601960244101E-2</v>
      </c>
      <c r="H168" s="44">
        <v>5.4527601960244101E-2</v>
      </c>
      <c r="I168" s="44">
        <v>5.4527601960244101E-2</v>
      </c>
      <c r="J168" s="44">
        <v>5.4527601960244101E-2</v>
      </c>
      <c r="K168" s="44">
        <v>5.4527601960244101E-2</v>
      </c>
      <c r="L168" s="44">
        <v>5.4527601960244101E-2</v>
      </c>
      <c r="M168" s="44">
        <v>5.4527601960244101E-2</v>
      </c>
      <c r="N168" s="44">
        <v>5.4527601960244101E-2</v>
      </c>
      <c r="O168" s="44">
        <v>5.4527601960244101E-2</v>
      </c>
      <c r="P168" s="44">
        <v>5.4527601960244101E-2</v>
      </c>
      <c r="Q168" s="44">
        <v>5.4527601960244101E-2</v>
      </c>
      <c r="R168" s="44">
        <v>5.4527601960244101E-2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</row>
    <row r="169" spans="1:34" ht="15.75" customHeight="1" x14ac:dyDescent="0.25">
      <c r="A169" s="106" t="s">
        <v>248</v>
      </c>
      <c r="B169" s="44">
        <v>1.94235679619079E-2</v>
      </c>
      <c r="C169" s="44">
        <v>4.4122207848037699E-2</v>
      </c>
      <c r="D169" s="44">
        <v>4.4122207848037699E-2</v>
      </c>
      <c r="E169" s="44">
        <v>0</v>
      </c>
      <c r="F169" s="44">
        <v>0</v>
      </c>
      <c r="G169" s="44">
        <v>4.4122207848037699E-2</v>
      </c>
      <c r="H169" s="44">
        <v>4.4122207848037699E-2</v>
      </c>
      <c r="I169" s="44">
        <v>4.4122207848037699E-2</v>
      </c>
      <c r="J169" s="44">
        <v>4.4122207848037699E-2</v>
      </c>
      <c r="K169" s="44">
        <v>4.4122207848037699E-2</v>
      </c>
      <c r="L169" s="44">
        <v>4.4122207848037699E-2</v>
      </c>
      <c r="M169" s="44">
        <v>4.4122207848037699E-2</v>
      </c>
      <c r="N169" s="44">
        <v>4.4122207848037699E-2</v>
      </c>
      <c r="O169" s="44">
        <v>4.4122207848037699E-2</v>
      </c>
      <c r="P169" s="44">
        <v>4.4122207848037699E-2</v>
      </c>
      <c r="Q169" s="44">
        <v>4.4122207848037699E-2</v>
      </c>
      <c r="R169" s="44">
        <v>4.4122207848037699E-2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</row>
    <row r="170" spans="1:34" ht="15.75" customHeight="1" x14ac:dyDescent="0.25">
      <c r="A170" s="106" t="s">
        <v>249</v>
      </c>
      <c r="B170" s="44">
        <v>3.9873808391657203E-2</v>
      </c>
      <c r="C170" s="44">
        <v>7.1541239240185905E-2</v>
      </c>
      <c r="D170" s="44">
        <v>7.1541239240185905E-2</v>
      </c>
      <c r="E170" s="44">
        <v>0</v>
      </c>
      <c r="F170" s="44">
        <v>0</v>
      </c>
      <c r="G170" s="44">
        <v>7.1541239240185905E-2</v>
      </c>
      <c r="H170" s="44">
        <v>7.1541239240185905E-2</v>
      </c>
      <c r="I170" s="44">
        <v>7.1541239240185905E-2</v>
      </c>
      <c r="J170" s="44">
        <v>7.1541239240185905E-2</v>
      </c>
      <c r="K170" s="44">
        <v>7.1541239240185905E-2</v>
      </c>
      <c r="L170" s="44">
        <v>7.1541239240185905E-2</v>
      </c>
      <c r="M170" s="44">
        <v>7.1541239240185905E-2</v>
      </c>
      <c r="N170" s="44">
        <v>7.1541239240185905E-2</v>
      </c>
      <c r="O170" s="44">
        <v>7.1541239240185905E-2</v>
      </c>
      <c r="P170" s="44">
        <v>7.1541239240185905E-2</v>
      </c>
      <c r="Q170" s="44">
        <v>7.1541239240185905E-2</v>
      </c>
      <c r="R170" s="44">
        <v>7.1541239240185905E-2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</row>
    <row r="171" spans="1:34" ht="15.75" customHeight="1" x14ac:dyDescent="0.25">
      <c r="A171" s="103" t="s">
        <v>250</v>
      </c>
      <c r="B171" s="44"/>
      <c r="C171" s="44"/>
      <c r="D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</row>
    <row r="172" spans="1:34" ht="15.75" customHeight="1" x14ac:dyDescent="0.25">
      <c r="A172" s="107" t="s">
        <v>245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</row>
    <row r="173" spans="1:34" ht="15.75" customHeight="1" x14ac:dyDescent="0.25">
      <c r="A173" s="107" t="s">
        <v>246</v>
      </c>
      <c r="B173" s="44">
        <v>0</v>
      </c>
      <c r="C173" s="44">
        <v>0</v>
      </c>
      <c r="D173" s="44">
        <v>0</v>
      </c>
      <c r="E173" s="44">
        <v>0</v>
      </c>
      <c r="F173" s="44">
        <v>0</v>
      </c>
      <c r="G173" s="44">
        <v>0</v>
      </c>
      <c r="H173" s="44">
        <v>0</v>
      </c>
      <c r="I173" s="44">
        <v>0</v>
      </c>
      <c r="J173" s="44">
        <v>0</v>
      </c>
      <c r="K173" s="44">
        <v>0</v>
      </c>
      <c r="L173" s="44">
        <v>0</v>
      </c>
      <c r="M173" s="44">
        <v>0</v>
      </c>
      <c r="N173" s="44">
        <v>0</v>
      </c>
      <c r="O173" s="44">
        <v>0</v>
      </c>
      <c r="P173" s="44">
        <v>0</v>
      </c>
      <c r="Q173" s="44">
        <v>0</v>
      </c>
      <c r="R173" s="44">
        <v>0</v>
      </c>
    </row>
    <row r="174" spans="1:34" ht="15.75" customHeight="1" x14ac:dyDescent="0.25">
      <c r="A174" s="107" t="s">
        <v>247</v>
      </c>
      <c r="B174" s="44">
        <v>0</v>
      </c>
      <c r="C174" s="44">
        <v>0</v>
      </c>
      <c r="D174" s="44">
        <v>0</v>
      </c>
      <c r="E174" s="44">
        <v>0</v>
      </c>
      <c r="F174" s="44">
        <v>0</v>
      </c>
      <c r="G174" s="44">
        <v>0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</row>
    <row r="175" spans="1:34" ht="15.75" customHeight="1" x14ac:dyDescent="0.25">
      <c r="A175" s="107" t="s">
        <v>248</v>
      </c>
      <c r="B175" s="44">
        <v>0</v>
      </c>
      <c r="C175" s="44">
        <v>0</v>
      </c>
      <c r="D175" s="44">
        <v>0</v>
      </c>
      <c r="E175" s="44">
        <v>0</v>
      </c>
      <c r="F175" s="44">
        <v>0</v>
      </c>
      <c r="G175" s="44">
        <v>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</row>
    <row r="176" spans="1:34" ht="15.75" customHeight="1" x14ac:dyDescent="0.25">
      <c r="A176" s="107" t="s">
        <v>249</v>
      </c>
      <c r="B176" s="44">
        <v>0</v>
      </c>
      <c r="C176" s="44">
        <v>0</v>
      </c>
      <c r="D176" s="44">
        <v>0</v>
      </c>
      <c r="E176" s="44">
        <v>0</v>
      </c>
      <c r="F176" s="44">
        <v>0</v>
      </c>
      <c r="G176" s="44">
        <v>0</v>
      </c>
      <c r="H176" s="44">
        <v>0</v>
      </c>
      <c r="I176" s="44">
        <v>0</v>
      </c>
      <c r="J176" s="44">
        <v>0</v>
      </c>
      <c r="K176" s="44">
        <v>0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</row>
    <row r="177" spans="1:34" ht="15.75" customHeight="1" x14ac:dyDescent="0.25">
      <c r="A177" s="108" t="s">
        <v>251</v>
      </c>
      <c r="B177" s="44"/>
      <c r="C177" s="44"/>
      <c r="D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</row>
    <row r="178" spans="1:34" ht="15.75" customHeight="1" x14ac:dyDescent="0.25">
      <c r="A178" s="107" t="s">
        <v>245</v>
      </c>
      <c r="B178" s="44">
        <v>4.33427061003459E-3</v>
      </c>
      <c r="C178" s="44">
        <v>9.7805309370158893E-3</v>
      </c>
      <c r="D178" s="44">
        <v>9.7805309370158893E-3</v>
      </c>
      <c r="E178" s="44">
        <v>0</v>
      </c>
      <c r="F178" s="44">
        <v>0</v>
      </c>
      <c r="G178" s="44">
        <v>9.7805309370158893E-3</v>
      </c>
      <c r="H178" s="44">
        <v>9.7805309370158893E-3</v>
      </c>
      <c r="I178" s="44">
        <v>9.7805309370158893E-3</v>
      </c>
      <c r="J178" s="44">
        <v>9.7805309370158893E-3</v>
      </c>
      <c r="K178" s="44">
        <v>9.7805309370158893E-3</v>
      </c>
      <c r="L178" s="44">
        <v>9.7805309370158893E-3</v>
      </c>
      <c r="M178" s="44">
        <v>9.7805309370158893E-3</v>
      </c>
      <c r="N178" s="44">
        <v>9.7805309370158893E-3</v>
      </c>
      <c r="O178" s="44">
        <v>9.7805309370158893E-3</v>
      </c>
      <c r="P178" s="44">
        <v>9.7805309370158893E-3</v>
      </c>
      <c r="Q178" s="44">
        <v>9.7805309370158893E-3</v>
      </c>
      <c r="R178" s="44">
        <v>9.7805309370158893E-3</v>
      </c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</row>
    <row r="179" spans="1:34" ht="15.75" customHeight="1" x14ac:dyDescent="0.25">
      <c r="A179" s="107" t="s">
        <v>246</v>
      </c>
      <c r="B179" s="44">
        <v>2.1953290779956499E-2</v>
      </c>
      <c r="C179" s="44">
        <v>3.0545795800415599E-2</v>
      </c>
      <c r="D179" s="44">
        <v>3.0545795800415599E-2</v>
      </c>
      <c r="E179" s="44">
        <v>0</v>
      </c>
      <c r="F179" s="44">
        <v>0</v>
      </c>
      <c r="G179" s="44">
        <v>3.0545795800415599E-2</v>
      </c>
      <c r="H179" s="44">
        <v>3.0545795800415599E-2</v>
      </c>
      <c r="I179" s="44">
        <v>3.0545795800415599E-2</v>
      </c>
      <c r="J179" s="44">
        <v>3.0545795800415599E-2</v>
      </c>
      <c r="K179" s="44">
        <v>3.0545795800415599E-2</v>
      </c>
      <c r="L179" s="44">
        <v>3.0545795800415599E-2</v>
      </c>
      <c r="M179" s="44">
        <v>3.0545795800415599E-2</v>
      </c>
      <c r="N179" s="44">
        <v>3.0545795800415599E-2</v>
      </c>
      <c r="O179" s="44">
        <v>3.0545795800415599E-2</v>
      </c>
      <c r="P179" s="44">
        <v>3.0545795800415599E-2</v>
      </c>
      <c r="Q179" s="44">
        <v>3.0545795800415599E-2</v>
      </c>
      <c r="R179" s="44">
        <v>3.0545795800415599E-2</v>
      </c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</row>
    <row r="180" spans="1:34" ht="15.75" customHeight="1" x14ac:dyDescent="0.25">
      <c r="A180" s="107" t="s">
        <v>247</v>
      </c>
      <c r="B180" s="44">
        <v>2.5375451485255999E-2</v>
      </c>
      <c r="C180" s="44">
        <v>1.5085281250836999E-2</v>
      </c>
      <c r="D180" s="44">
        <v>1.5085281250836999E-2</v>
      </c>
      <c r="E180" s="44">
        <v>0</v>
      </c>
      <c r="F180" s="44">
        <v>0</v>
      </c>
      <c r="G180" s="44">
        <v>1.5085281250836999E-2</v>
      </c>
      <c r="H180" s="44">
        <v>1.5085281250836999E-2</v>
      </c>
      <c r="I180" s="44">
        <v>1.5085281250836999E-2</v>
      </c>
      <c r="J180" s="44">
        <v>1.5085281250836999E-2</v>
      </c>
      <c r="K180" s="44">
        <v>1.5085281250836999E-2</v>
      </c>
      <c r="L180" s="44">
        <v>1.5085281250836999E-2</v>
      </c>
      <c r="M180" s="44">
        <v>1.5085281250836999E-2</v>
      </c>
      <c r="N180" s="44">
        <v>1.5085281250836999E-2</v>
      </c>
      <c r="O180" s="44">
        <v>1.5085281250836999E-2</v>
      </c>
      <c r="P180" s="44">
        <v>1.5085281250836999E-2</v>
      </c>
      <c r="Q180" s="44">
        <v>1.5085281250836999E-2</v>
      </c>
      <c r="R180" s="44">
        <v>1.5085281250836999E-2</v>
      </c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</row>
    <row r="181" spans="1:34" ht="15.75" customHeight="1" x14ac:dyDescent="0.25">
      <c r="A181" s="107" t="s">
        <v>248</v>
      </c>
      <c r="B181" s="44">
        <v>1.08158724337356E-2</v>
      </c>
      <c r="C181" s="44">
        <v>1.6321765924539301E-2</v>
      </c>
      <c r="D181" s="44">
        <v>1.6321765924539301E-2</v>
      </c>
      <c r="E181" s="44">
        <v>0</v>
      </c>
      <c r="F181" s="44">
        <v>0</v>
      </c>
      <c r="G181" s="44">
        <v>1.6321765924539301E-2</v>
      </c>
      <c r="H181" s="44">
        <v>1.6321765924539301E-2</v>
      </c>
      <c r="I181" s="44">
        <v>1.6321765924539301E-2</v>
      </c>
      <c r="J181" s="44">
        <v>1.6321765924539301E-2</v>
      </c>
      <c r="K181" s="44">
        <v>1.6321765924539301E-2</v>
      </c>
      <c r="L181" s="44">
        <v>1.6321765924539301E-2</v>
      </c>
      <c r="M181" s="44">
        <v>1.6321765924539301E-2</v>
      </c>
      <c r="N181" s="44">
        <v>1.6321765924539301E-2</v>
      </c>
      <c r="O181" s="44">
        <v>1.6321765924539301E-2</v>
      </c>
      <c r="P181" s="44">
        <v>1.6321765924539301E-2</v>
      </c>
      <c r="Q181" s="44">
        <v>1.6321765924539301E-2</v>
      </c>
      <c r="R181" s="44">
        <v>1.6321765924539301E-2</v>
      </c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</row>
    <row r="182" spans="1:34" ht="15.75" customHeight="1" x14ac:dyDescent="0.25">
      <c r="A182" s="107" t="s">
        <v>249</v>
      </c>
      <c r="B182" s="44">
        <v>1.0890999470972801E-2</v>
      </c>
      <c r="C182" s="44">
        <v>2.7220182466985401E-2</v>
      </c>
      <c r="D182" s="44">
        <v>2.7220182466985401E-2</v>
      </c>
      <c r="E182" s="44">
        <v>0</v>
      </c>
      <c r="F182" s="44">
        <v>0</v>
      </c>
      <c r="G182" s="44">
        <v>2.7220182466985401E-2</v>
      </c>
      <c r="H182" s="44">
        <v>2.7220182466985401E-2</v>
      </c>
      <c r="I182" s="44">
        <v>2.7220182466985401E-2</v>
      </c>
      <c r="J182" s="44">
        <v>2.7220182466985401E-2</v>
      </c>
      <c r="K182" s="44">
        <v>2.7220182466985401E-2</v>
      </c>
      <c r="L182" s="44">
        <v>2.7220182466985401E-2</v>
      </c>
      <c r="M182" s="44">
        <v>2.7220182466985401E-2</v>
      </c>
      <c r="N182" s="44">
        <v>2.7220182466985401E-2</v>
      </c>
      <c r="O182" s="44">
        <v>2.7220182466985401E-2</v>
      </c>
      <c r="P182" s="44">
        <v>2.7220182466985401E-2</v>
      </c>
      <c r="Q182" s="44">
        <v>2.7220182466985401E-2</v>
      </c>
      <c r="R182" s="44">
        <v>2.7220182466985401E-2</v>
      </c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</row>
    <row r="183" spans="1:34" ht="15.75" customHeight="1" x14ac:dyDescent="0.25"/>
    <row r="184" spans="1:34" ht="15.75" customHeight="1" x14ac:dyDescent="0.25"/>
    <row r="185" spans="1:34" ht="15.75" customHeight="1" x14ac:dyDescent="0.25">
      <c r="A185" s="109" t="s">
        <v>252</v>
      </c>
      <c r="B185" s="110"/>
      <c r="C185" s="110"/>
      <c r="D185" s="110"/>
      <c r="E185" s="110"/>
      <c r="F185" s="110"/>
      <c r="G185" s="110"/>
    </row>
    <row r="186" spans="1:34" ht="15.75" customHeight="1" x14ac:dyDescent="0.25">
      <c r="A186" s="111" t="s">
        <v>253</v>
      </c>
      <c r="B186" s="14" t="s">
        <v>254</v>
      </c>
      <c r="C186" s="112">
        <v>1.2</v>
      </c>
      <c r="D186" s="42"/>
    </row>
    <row r="187" spans="1:34" ht="15.75" customHeight="1" x14ac:dyDescent="0.25">
      <c r="A187" s="111" t="s">
        <v>255</v>
      </c>
      <c r="B187" s="14" t="s">
        <v>195</v>
      </c>
      <c r="C187" s="112">
        <v>0.88</v>
      </c>
      <c r="D187" s="42"/>
      <c r="E187" s="42"/>
      <c r="F187" s="42"/>
    </row>
    <row r="188" spans="1:34" ht="15.75" customHeight="1" x14ac:dyDescent="0.25">
      <c r="A188" s="111" t="s">
        <v>256</v>
      </c>
      <c r="B188" s="14" t="s">
        <v>254</v>
      </c>
      <c r="C188" s="112">
        <v>0.6</v>
      </c>
      <c r="D188" s="42"/>
      <c r="E188" s="42"/>
    </row>
    <row r="189" spans="1:34" ht="15.75" customHeight="1" x14ac:dyDescent="0.25">
      <c r="A189" s="111" t="s">
        <v>257</v>
      </c>
      <c r="B189" s="14" t="s">
        <v>254</v>
      </c>
      <c r="C189" s="112">
        <v>0.95</v>
      </c>
      <c r="D189" s="42"/>
      <c r="E189" s="42"/>
      <c r="F189" s="42"/>
    </row>
    <row r="190" spans="1:34" ht="15.75" customHeight="1" x14ac:dyDescent="0.25">
      <c r="A190" s="111" t="s">
        <v>258</v>
      </c>
      <c r="B190" s="14" t="s">
        <v>254</v>
      </c>
      <c r="C190" s="112">
        <v>3.36</v>
      </c>
      <c r="D190" s="42"/>
      <c r="E190" s="42"/>
      <c r="F190" s="42"/>
    </row>
    <row r="191" spans="1:34" ht="15.75" customHeight="1" x14ac:dyDescent="0.25">
      <c r="A191" s="111" t="s">
        <v>259</v>
      </c>
      <c r="B191" s="14" t="s">
        <v>254</v>
      </c>
      <c r="C191" s="112">
        <v>13.46</v>
      </c>
      <c r="D191" s="42"/>
      <c r="E191" s="42"/>
      <c r="F191" s="42"/>
    </row>
    <row r="192" spans="1:34" ht="15.75" customHeight="1" x14ac:dyDescent="0.25">
      <c r="A192" s="111" t="s">
        <v>260</v>
      </c>
      <c r="B192" s="14" t="s">
        <v>80</v>
      </c>
      <c r="C192" s="112">
        <v>5</v>
      </c>
    </row>
    <row r="193" spans="1:19" ht="15.75" customHeight="1" x14ac:dyDescent="0.25">
      <c r="A193" s="111" t="s">
        <v>261</v>
      </c>
      <c r="B193" s="41" t="s">
        <v>82</v>
      </c>
      <c r="C193" s="112">
        <v>47</v>
      </c>
    </row>
    <row r="194" spans="1:19" ht="15.75" customHeight="1" x14ac:dyDescent="0.25">
      <c r="A194" s="111" t="s">
        <v>262</v>
      </c>
      <c r="B194" s="41" t="s">
        <v>82</v>
      </c>
      <c r="C194" s="112">
        <v>25</v>
      </c>
    </row>
    <row r="195" spans="1:19" ht="15.75" customHeight="1" x14ac:dyDescent="0.25">
      <c r="A195" s="111" t="s">
        <v>263</v>
      </c>
      <c r="B195" s="14" t="s">
        <v>80</v>
      </c>
      <c r="C195" s="112">
        <v>8</v>
      </c>
    </row>
    <row r="196" spans="1:19" ht="15.75" customHeight="1" x14ac:dyDescent="0.25">
      <c r="A196" s="109" t="s">
        <v>264</v>
      </c>
      <c r="B196" s="113"/>
      <c r="C196" s="113"/>
    </row>
    <row r="197" spans="1:19" ht="15.75" customHeight="1" x14ac:dyDescent="0.25">
      <c r="A197" s="114" t="s">
        <v>265</v>
      </c>
      <c r="B197" s="14" t="s">
        <v>82</v>
      </c>
      <c r="C197" s="115">
        <v>22</v>
      </c>
    </row>
    <row r="198" spans="1:19" ht="15.75" customHeight="1" x14ac:dyDescent="0.25">
      <c r="A198" s="116" t="s">
        <v>266</v>
      </c>
      <c r="B198" s="70" t="s">
        <v>195</v>
      </c>
      <c r="C198" s="117">
        <v>0.3</v>
      </c>
    </row>
    <row r="199" spans="1:19" ht="15.75" customHeight="1" x14ac:dyDescent="0.25">
      <c r="A199" s="318" t="s">
        <v>267</v>
      </c>
      <c r="B199" s="294"/>
      <c r="C199" s="319"/>
    </row>
    <row r="200" spans="1:19" ht="15.75" customHeight="1" x14ac:dyDescent="0.25">
      <c r="A200" s="111" t="s">
        <v>268</v>
      </c>
      <c r="B200" s="14" t="s">
        <v>269</v>
      </c>
      <c r="C200" s="112">
        <v>325</v>
      </c>
    </row>
    <row r="201" spans="1:19" ht="15.75" customHeight="1" x14ac:dyDescent="0.25">
      <c r="A201" s="292" t="s">
        <v>403</v>
      </c>
      <c r="B201" s="14" t="s">
        <v>269</v>
      </c>
      <c r="C201" s="115">
        <v>100</v>
      </c>
    </row>
    <row r="202" spans="1:19" ht="15.75" customHeight="1" x14ac:dyDescent="0.25"/>
    <row r="203" spans="1:19" ht="15.75" customHeight="1" thickBot="1" x14ac:dyDescent="0.3"/>
    <row r="204" spans="1:19" ht="15.75" customHeight="1" x14ac:dyDescent="0.25">
      <c r="A204" s="118" t="s">
        <v>271</v>
      </c>
      <c r="B204" s="119"/>
      <c r="C204" s="291" t="s">
        <v>228</v>
      </c>
      <c r="D204" s="291" t="s">
        <v>388</v>
      </c>
      <c r="E204" s="291" t="s">
        <v>389</v>
      </c>
      <c r="F204" s="291" t="s">
        <v>390</v>
      </c>
      <c r="G204" s="291" t="s">
        <v>391</v>
      </c>
      <c r="H204" s="291" t="s">
        <v>272</v>
      </c>
      <c r="I204" s="291" t="s">
        <v>392</v>
      </c>
      <c r="J204" s="291" t="s">
        <v>393</v>
      </c>
      <c r="K204" s="291" t="s">
        <v>394</v>
      </c>
      <c r="L204" s="291" t="s">
        <v>395</v>
      </c>
      <c r="M204" s="291" t="s">
        <v>396</v>
      </c>
      <c r="N204" s="291" t="s">
        <v>397</v>
      </c>
      <c r="O204" s="291" t="s">
        <v>398</v>
      </c>
      <c r="P204" s="291" t="s">
        <v>399</v>
      </c>
      <c r="Q204" s="291" t="s">
        <v>400</v>
      </c>
      <c r="R204" s="291" t="s">
        <v>401</v>
      </c>
      <c r="S204" s="291" t="s">
        <v>402</v>
      </c>
    </row>
    <row r="205" spans="1:19" ht="15.75" customHeight="1" x14ac:dyDescent="0.25">
      <c r="A205" s="120" t="s">
        <v>273</v>
      </c>
      <c r="B205" s="320" t="s">
        <v>274</v>
      </c>
      <c r="C205" s="121">
        <v>0.5</v>
      </c>
      <c r="D205" s="122">
        <v>0.5</v>
      </c>
      <c r="E205" s="121">
        <v>0.5</v>
      </c>
      <c r="F205" s="122">
        <v>0.5</v>
      </c>
      <c r="G205" s="121">
        <v>0.5</v>
      </c>
      <c r="H205" s="122">
        <v>0.5</v>
      </c>
      <c r="I205" s="121">
        <v>0.5</v>
      </c>
      <c r="J205" s="122">
        <v>0.5</v>
      </c>
      <c r="K205" s="121">
        <v>0.5</v>
      </c>
      <c r="L205" s="122">
        <v>0.5</v>
      </c>
      <c r="M205" s="121">
        <v>0.5</v>
      </c>
      <c r="N205" s="122">
        <v>0.5</v>
      </c>
      <c r="O205" s="121">
        <v>0.5</v>
      </c>
      <c r="P205" s="122">
        <v>0.5</v>
      </c>
      <c r="Q205" s="121">
        <v>0.5</v>
      </c>
      <c r="R205" s="86" t="s">
        <v>275</v>
      </c>
    </row>
    <row r="206" spans="1:19" ht="15.75" customHeight="1" x14ac:dyDescent="0.25">
      <c r="A206" s="120" t="s">
        <v>276</v>
      </c>
      <c r="B206" s="312"/>
      <c r="C206" s="121">
        <v>0.5</v>
      </c>
      <c r="D206" s="122">
        <v>0.5</v>
      </c>
      <c r="E206" s="121">
        <v>0.5</v>
      </c>
      <c r="F206" s="122">
        <v>0.5</v>
      </c>
      <c r="G206" s="121">
        <v>0.5</v>
      </c>
      <c r="H206" s="122">
        <v>0.5</v>
      </c>
      <c r="I206" s="121">
        <v>0.5</v>
      </c>
      <c r="J206" s="122">
        <v>0.5</v>
      </c>
      <c r="K206" s="121">
        <v>0.5</v>
      </c>
      <c r="L206" s="122">
        <v>0.5</v>
      </c>
      <c r="M206" s="121">
        <v>0.5</v>
      </c>
      <c r="N206" s="122">
        <v>0.5</v>
      </c>
      <c r="O206" s="121">
        <v>0.5</v>
      </c>
      <c r="P206" s="122">
        <v>0.5</v>
      </c>
      <c r="Q206" s="121">
        <v>0.5</v>
      </c>
    </row>
    <row r="207" spans="1:19" ht="15.75" customHeight="1" x14ac:dyDescent="0.25">
      <c r="A207" s="120" t="s">
        <v>277</v>
      </c>
      <c r="B207" s="312"/>
      <c r="C207" s="121">
        <v>0.5</v>
      </c>
      <c r="D207" s="122">
        <v>0.5</v>
      </c>
      <c r="E207" s="121">
        <v>0.5</v>
      </c>
      <c r="F207" s="122">
        <v>0.5</v>
      </c>
      <c r="G207" s="121">
        <v>0.5</v>
      </c>
      <c r="H207" s="122">
        <v>0.5</v>
      </c>
      <c r="I207" s="121">
        <v>0.5</v>
      </c>
      <c r="J207" s="122">
        <v>0.5</v>
      </c>
      <c r="K207" s="121">
        <v>0.5</v>
      </c>
      <c r="L207" s="122">
        <v>0.5</v>
      </c>
      <c r="M207" s="121">
        <v>0.5</v>
      </c>
      <c r="N207" s="122">
        <v>0.5</v>
      </c>
      <c r="O207" s="121">
        <v>0.5</v>
      </c>
      <c r="P207" s="122">
        <v>0.5</v>
      </c>
      <c r="Q207" s="121">
        <v>0.5</v>
      </c>
    </row>
    <row r="208" spans="1:19" ht="15.75" customHeight="1" x14ac:dyDescent="0.25">
      <c r="A208" s="120" t="s">
        <v>278</v>
      </c>
      <c r="B208" s="312"/>
      <c r="C208" s="121">
        <v>0.5</v>
      </c>
      <c r="D208" s="122">
        <v>0.5</v>
      </c>
      <c r="E208" s="121">
        <v>0.5</v>
      </c>
      <c r="F208" s="122">
        <v>0.5</v>
      </c>
      <c r="G208" s="121">
        <v>0.5</v>
      </c>
      <c r="H208" s="122">
        <v>0.5</v>
      </c>
      <c r="I208" s="121">
        <v>0.5</v>
      </c>
      <c r="J208" s="122">
        <v>0.5</v>
      </c>
      <c r="K208" s="121">
        <v>0.5</v>
      </c>
      <c r="L208" s="122">
        <v>0.5</v>
      </c>
      <c r="M208" s="121">
        <v>0.5</v>
      </c>
      <c r="N208" s="122">
        <v>0.5</v>
      </c>
      <c r="O208" s="121">
        <v>0.5</v>
      </c>
      <c r="P208" s="122">
        <v>0.5</v>
      </c>
      <c r="Q208" s="121">
        <v>0.5</v>
      </c>
    </row>
    <row r="209" spans="1:17" ht="15.75" customHeight="1" x14ac:dyDescent="0.25">
      <c r="A209" s="120" t="s">
        <v>279</v>
      </c>
      <c r="B209" s="321"/>
      <c r="C209" s="121">
        <v>0.5</v>
      </c>
      <c r="D209" s="122">
        <v>0.5</v>
      </c>
      <c r="E209" s="121">
        <v>0.5</v>
      </c>
      <c r="F209" s="122">
        <v>0.5</v>
      </c>
      <c r="G209" s="121">
        <v>0.5</v>
      </c>
      <c r="H209" s="122">
        <v>0.5</v>
      </c>
      <c r="I209" s="121">
        <v>0.5</v>
      </c>
      <c r="J209" s="122">
        <v>0.5</v>
      </c>
      <c r="K209" s="121">
        <v>0.5</v>
      </c>
      <c r="L209" s="122">
        <v>0.5</v>
      </c>
      <c r="M209" s="121">
        <v>0.5</v>
      </c>
      <c r="N209" s="122">
        <v>0.5</v>
      </c>
      <c r="O209" s="121">
        <v>0.5</v>
      </c>
      <c r="P209" s="122">
        <v>0.5</v>
      </c>
      <c r="Q209" s="121">
        <v>0.5</v>
      </c>
    </row>
    <row r="210" spans="1:17" ht="15.75" customHeight="1" x14ac:dyDescent="0.25">
      <c r="A210" s="120" t="s">
        <v>273</v>
      </c>
      <c r="B210" s="320" t="s">
        <v>280</v>
      </c>
      <c r="C210" s="121">
        <v>0.5</v>
      </c>
      <c r="D210" s="122">
        <v>0.5</v>
      </c>
      <c r="E210" s="121">
        <v>0.5</v>
      </c>
      <c r="F210" s="122">
        <v>0.5</v>
      </c>
      <c r="G210" s="121">
        <v>0.5</v>
      </c>
      <c r="H210" s="122">
        <v>0.5</v>
      </c>
      <c r="I210" s="121">
        <v>0.5</v>
      </c>
      <c r="J210" s="122">
        <v>0.5</v>
      </c>
      <c r="K210" s="121">
        <v>0.5</v>
      </c>
      <c r="L210" s="122">
        <v>0.5</v>
      </c>
      <c r="M210" s="121">
        <v>0.5</v>
      </c>
      <c r="N210" s="122">
        <v>0.5</v>
      </c>
      <c r="O210" s="121">
        <v>0.5</v>
      </c>
      <c r="P210" s="122">
        <v>0.5</v>
      </c>
      <c r="Q210" s="121">
        <v>0.5</v>
      </c>
    </row>
    <row r="211" spans="1:17" ht="15.75" customHeight="1" x14ac:dyDescent="0.25">
      <c r="A211" s="120" t="s">
        <v>276</v>
      </c>
      <c r="B211" s="312"/>
      <c r="C211" s="121">
        <v>0.5</v>
      </c>
      <c r="D211" s="122">
        <v>0.5</v>
      </c>
      <c r="E211" s="121">
        <v>0.5</v>
      </c>
      <c r="F211" s="122">
        <v>0.5</v>
      </c>
      <c r="G211" s="121">
        <v>0.5</v>
      </c>
      <c r="H211" s="122">
        <v>0.5</v>
      </c>
      <c r="I211" s="121">
        <v>0.5</v>
      </c>
      <c r="J211" s="122">
        <v>0.5</v>
      </c>
      <c r="K211" s="121">
        <v>0.5</v>
      </c>
      <c r="L211" s="122">
        <v>0.5</v>
      </c>
      <c r="M211" s="121">
        <v>0.5</v>
      </c>
      <c r="N211" s="122">
        <v>0.5</v>
      </c>
      <c r="O211" s="121">
        <v>0.5</v>
      </c>
      <c r="P211" s="122">
        <v>0.5</v>
      </c>
      <c r="Q211" s="121">
        <v>0.5</v>
      </c>
    </row>
    <row r="212" spans="1:17" ht="15.75" customHeight="1" x14ac:dyDescent="0.25">
      <c r="A212" s="120" t="s">
        <v>277</v>
      </c>
      <c r="B212" s="312"/>
      <c r="C212" s="121">
        <v>0.5</v>
      </c>
      <c r="D212" s="122">
        <v>0.5</v>
      </c>
      <c r="E212" s="121">
        <v>0.5</v>
      </c>
      <c r="F212" s="122">
        <v>0.5</v>
      </c>
      <c r="G212" s="121">
        <v>0.5</v>
      </c>
      <c r="H212" s="122">
        <v>0.5</v>
      </c>
      <c r="I212" s="121">
        <v>0.5</v>
      </c>
      <c r="J212" s="122">
        <v>0.5</v>
      </c>
      <c r="K212" s="121">
        <v>0.5</v>
      </c>
      <c r="L212" s="122">
        <v>0.5</v>
      </c>
      <c r="M212" s="121">
        <v>0.5</v>
      </c>
      <c r="N212" s="122">
        <v>0.5</v>
      </c>
      <c r="O212" s="121">
        <v>0.5</v>
      </c>
      <c r="P212" s="122">
        <v>0.5</v>
      </c>
      <c r="Q212" s="121">
        <v>0.5</v>
      </c>
    </row>
    <row r="213" spans="1:17" ht="15.75" customHeight="1" x14ac:dyDescent="0.25">
      <c r="A213" s="120" t="s">
        <v>278</v>
      </c>
      <c r="B213" s="312"/>
      <c r="C213" s="121">
        <v>0.5</v>
      </c>
      <c r="D213" s="122">
        <v>0.5</v>
      </c>
      <c r="E213" s="121">
        <v>0.5</v>
      </c>
      <c r="F213" s="122">
        <v>0.5</v>
      </c>
      <c r="G213" s="121">
        <v>0.5</v>
      </c>
      <c r="H213" s="122">
        <v>0.5</v>
      </c>
      <c r="I213" s="121">
        <v>0.5</v>
      </c>
      <c r="J213" s="122">
        <v>0.5</v>
      </c>
      <c r="K213" s="121">
        <v>0.5</v>
      </c>
      <c r="L213" s="122">
        <v>0.5</v>
      </c>
      <c r="M213" s="121">
        <v>0.5</v>
      </c>
      <c r="N213" s="122">
        <v>0.5</v>
      </c>
      <c r="O213" s="121">
        <v>0.5</v>
      </c>
      <c r="P213" s="122">
        <v>0.5</v>
      </c>
      <c r="Q213" s="121">
        <v>0.5</v>
      </c>
    </row>
    <row r="214" spans="1:17" ht="15.75" customHeight="1" x14ac:dyDescent="0.25">
      <c r="A214" s="120" t="s">
        <v>279</v>
      </c>
      <c r="B214" s="321"/>
      <c r="C214" s="121">
        <v>0.5</v>
      </c>
      <c r="D214" s="122">
        <v>0.5</v>
      </c>
      <c r="E214" s="121">
        <v>0.5</v>
      </c>
      <c r="F214" s="122">
        <v>0.5</v>
      </c>
      <c r="G214" s="121">
        <v>0.5</v>
      </c>
      <c r="H214" s="122">
        <v>0.5</v>
      </c>
      <c r="I214" s="121">
        <v>0.5</v>
      </c>
      <c r="J214" s="122">
        <v>0.5</v>
      </c>
      <c r="K214" s="121">
        <v>0.5</v>
      </c>
      <c r="L214" s="122">
        <v>0.5</v>
      </c>
      <c r="M214" s="121">
        <v>0.5</v>
      </c>
      <c r="N214" s="122">
        <v>0.5</v>
      </c>
      <c r="O214" s="121">
        <v>0.5</v>
      </c>
      <c r="P214" s="122">
        <v>0.5</v>
      </c>
      <c r="Q214" s="121">
        <v>0.5</v>
      </c>
    </row>
    <row r="215" spans="1:17" ht="15.75" customHeight="1" x14ac:dyDescent="0.25">
      <c r="A215" s="120" t="s">
        <v>281</v>
      </c>
      <c r="B215" s="320" t="s">
        <v>282</v>
      </c>
      <c r="C215" s="121">
        <v>0.5</v>
      </c>
      <c r="D215" s="122">
        <v>0.5</v>
      </c>
      <c r="E215" s="121">
        <v>0.5</v>
      </c>
      <c r="F215" s="122">
        <v>0.5</v>
      </c>
      <c r="G215" s="121">
        <v>0.5</v>
      </c>
      <c r="H215" s="122">
        <v>0.5</v>
      </c>
      <c r="I215" s="121">
        <v>0.5</v>
      </c>
      <c r="J215" s="122">
        <v>0.5</v>
      </c>
      <c r="K215" s="121">
        <v>0.5</v>
      </c>
      <c r="L215" s="122">
        <v>0.5</v>
      </c>
      <c r="M215" s="121">
        <v>0.5</v>
      </c>
      <c r="N215" s="122">
        <v>0.5</v>
      </c>
      <c r="O215" s="121">
        <v>0.5</v>
      </c>
      <c r="P215" s="122">
        <v>0.5</v>
      </c>
      <c r="Q215" s="121">
        <v>0.5</v>
      </c>
    </row>
    <row r="216" spans="1:17" ht="15.75" customHeight="1" x14ac:dyDescent="0.25">
      <c r="A216" s="120" t="s">
        <v>276</v>
      </c>
      <c r="B216" s="312"/>
      <c r="C216" s="121">
        <v>0.5</v>
      </c>
      <c r="D216" s="122">
        <v>0.5</v>
      </c>
      <c r="E216" s="121">
        <v>0.5</v>
      </c>
      <c r="F216" s="122">
        <v>0.5</v>
      </c>
      <c r="G216" s="121">
        <v>0.5</v>
      </c>
      <c r="H216" s="122">
        <v>0.5</v>
      </c>
      <c r="I216" s="121">
        <v>0.5</v>
      </c>
      <c r="J216" s="122">
        <v>0.5</v>
      </c>
      <c r="K216" s="121">
        <v>0.5</v>
      </c>
      <c r="L216" s="122">
        <v>0.5</v>
      </c>
      <c r="M216" s="121">
        <v>0.5</v>
      </c>
      <c r="N216" s="122">
        <v>0.5</v>
      </c>
      <c r="O216" s="121">
        <v>0.5</v>
      </c>
      <c r="P216" s="122">
        <v>0.5</v>
      </c>
      <c r="Q216" s="121">
        <v>0.5</v>
      </c>
    </row>
    <row r="217" spans="1:17" ht="15.75" customHeight="1" x14ac:dyDescent="0.25">
      <c r="A217" s="120" t="s">
        <v>277</v>
      </c>
      <c r="B217" s="312"/>
      <c r="C217" s="121">
        <v>0.5</v>
      </c>
      <c r="D217" s="122">
        <v>0.5</v>
      </c>
      <c r="E217" s="121">
        <v>0.5</v>
      </c>
      <c r="F217" s="122">
        <v>0.5</v>
      </c>
      <c r="G217" s="121">
        <v>0.5</v>
      </c>
      <c r="H217" s="122">
        <v>0.5</v>
      </c>
      <c r="I217" s="121">
        <v>0.5</v>
      </c>
      <c r="J217" s="122">
        <v>0.5</v>
      </c>
      <c r="K217" s="121">
        <v>0.5</v>
      </c>
      <c r="L217" s="122">
        <v>0.5</v>
      </c>
      <c r="M217" s="121">
        <v>0.5</v>
      </c>
      <c r="N217" s="122">
        <v>0.5</v>
      </c>
      <c r="O217" s="121">
        <v>0.5</v>
      </c>
      <c r="P217" s="122">
        <v>0.5</v>
      </c>
      <c r="Q217" s="121">
        <v>0.5</v>
      </c>
    </row>
    <row r="218" spans="1:17" ht="15.75" customHeight="1" x14ac:dyDescent="0.25">
      <c r="A218" s="120" t="s">
        <v>278</v>
      </c>
      <c r="B218" s="312"/>
      <c r="C218" s="121">
        <v>0.5</v>
      </c>
      <c r="D218" s="122">
        <v>0.5</v>
      </c>
      <c r="E218" s="121">
        <v>0.5</v>
      </c>
      <c r="F218" s="122">
        <v>0.5</v>
      </c>
      <c r="G218" s="121">
        <v>0.5</v>
      </c>
      <c r="H218" s="122">
        <v>0.5</v>
      </c>
      <c r="I218" s="121">
        <v>0.5</v>
      </c>
      <c r="J218" s="122">
        <v>0.5</v>
      </c>
      <c r="K218" s="121">
        <v>0.5</v>
      </c>
      <c r="L218" s="122">
        <v>0.5</v>
      </c>
      <c r="M218" s="121">
        <v>0.5</v>
      </c>
      <c r="N218" s="122">
        <v>0.5</v>
      </c>
      <c r="O218" s="121">
        <v>0.5</v>
      </c>
      <c r="P218" s="122">
        <v>0.5</v>
      </c>
      <c r="Q218" s="121">
        <v>0.5</v>
      </c>
    </row>
    <row r="219" spans="1:17" ht="15.75" customHeight="1" x14ac:dyDescent="0.25">
      <c r="A219" s="120" t="s">
        <v>279</v>
      </c>
      <c r="B219" s="321"/>
      <c r="C219" s="121">
        <v>0.5</v>
      </c>
      <c r="D219" s="122">
        <v>0.5</v>
      </c>
      <c r="E219" s="121">
        <v>0.5</v>
      </c>
      <c r="F219" s="122">
        <v>0.5</v>
      </c>
      <c r="G219" s="121">
        <v>0.5</v>
      </c>
      <c r="H219" s="122">
        <v>0.5</v>
      </c>
      <c r="I219" s="121">
        <v>0.5</v>
      </c>
      <c r="J219" s="122">
        <v>0.5</v>
      </c>
      <c r="K219" s="121">
        <v>0.5</v>
      </c>
      <c r="L219" s="122">
        <v>0.5</v>
      </c>
      <c r="M219" s="121">
        <v>0.5</v>
      </c>
      <c r="N219" s="122">
        <v>0.5</v>
      </c>
      <c r="O219" s="121">
        <v>0.5</v>
      </c>
      <c r="P219" s="122">
        <v>0.5</v>
      </c>
      <c r="Q219" s="121">
        <v>0.5</v>
      </c>
    </row>
    <row r="220" spans="1:17" ht="15.75" customHeight="1" x14ac:dyDescent="0.25">
      <c r="A220" s="120" t="s">
        <v>273</v>
      </c>
      <c r="B220" s="320" t="s">
        <v>283</v>
      </c>
      <c r="C220" s="121">
        <v>0.5</v>
      </c>
      <c r="D220" s="122">
        <v>0.5</v>
      </c>
      <c r="E220" s="121">
        <v>0.5</v>
      </c>
      <c r="F220" s="122">
        <v>0.5</v>
      </c>
      <c r="G220" s="121">
        <v>0.5</v>
      </c>
      <c r="H220" s="122">
        <v>0.5</v>
      </c>
      <c r="I220" s="121">
        <v>0.5</v>
      </c>
      <c r="J220" s="122">
        <v>0.5</v>
      </c>
      <c r="K220" s="121">
        <v>0.5</v>
      </c>
      <c r="L220" s="122">
        <v>0.5</v>
      </c>
      <c r="M220" s="121">
        <v>0.5</v>
      </c>
      <c r="N220" s="122">
        <v>0.5</v>
      </c>
      <c r="O220" s="121">
        <v>0.5</v>
      </c>
      <c r="P220" s="122">
        <v>0.5</v>
      </c>
      <c r="Q220" s="121">
        <v>0.5</v>
      </c>
    </row>
    <row r="221" spans="1:17" ht="15.75" customHeight="1" x14ac:dyDescent="0.25">
      <c r="A221" s="120" t="s">
        <v>276</v>
      </c>
      <c r="B221" s="312"/>
      <c r="C221" s="121">
        <v>0.5</v>
      </c>
      <c r="D221" s="122">
        <v>0.5</v>
      </c>
      <c r="E221" s="121">
        <v>0.5</v>
      </c>
      <c r="F221" s="122">
        <v>0.5</v>
      </c>
      <c r="G221" s="121">
        <v>0.5</v>
      </c>
      <c r="H221" s="122">
        <v>0.5</v>
      </c>
      <c r="I221" s="121">
        <v>0.5</v>
      </c>
      <c r="J221" s="122">
        <v>0.5</v>
      </c>
      <c r="K221" s="121">
        <v>0.5</v>
      </c>
      <c r="L221" s="122">
        <v>0.5</v>
      </c>
      <c r="M221" s="121">
        <v>0.5</v>
      </c>
      <c r="N221" s="122">
        <v>0.5</v>
      </c>
      <c r="O221" s="121">
        <v>0.5</v>
      </c>
      <c r="P221" s="122">
        <v>0.5</v>
      </c>
      <c r="Q221" s="121">
        <v>0.5</v>
      </c>
    </row>
    <row r="222" spans="1:17" ht="15.75" customHeight="1" x14ac:dyDescent="0.25">
      <c r="A222" s="120" t="s">
        <v>277</v>
      </c>
      <c r="B222" s="312"/>
      <c r="C222" s="121">
        <v>0.5</v>
      </c>
      <c r="D222" s="122">
        <v>0.5</v>
      </c>
      <c r="E222" s="121">
        <v>0.5</v>
      </c>
      <c r="F222" s="122">
        <v>0.5</v>
      </c>
      <c r="G222" s="121">
        <v>0.5</v>
      </c>
      <c r="H222" s="122">
        <v>0.5</v>
      </c>
      <c r="I222" s="121">
        <v>0.5</v>
      </c>
      <c r="J222" s="122">
        <v>0.5</v>
      </c>
      <c r="K222" s="121">
        <v>0.5</v>
      </c>
      <c r="L222" s="122">
        <v>0.5</v>
      </c>
      <c r="M222" s="121">
        <v>0.5</v>
      </c>
      <c r="N222" s="122">
        <v>0.5</v>
      </c>
      <c r="O222" s="121">
        <v>0.5</v>
      </c>
      <c r="P222" s="122">
        <v>0.5</v>
      </c>
      <c r="Q222" s="121">
        <v>0.5</v>
      </c>
    </row>
    <row r="223" spans="1:17" ht="15.75" customHeight="1" x14ac:dyDescent="0.25">
      <c r="A223" s="120" t="s">
        <v>278</v>
      </c>
      <c r="B223" s="312"/>
      <c r="C223" s="121">
        <v>0.5</v>
      </c>
      <c r="D223" s="122">
        <v>0.5</v>
      </c>
      <c r="E223" s="121">
        <v>0.5</v>
      </c>
      <c r="F223" s="122">
        <v>0.5</v>
      </c>
      <c r="G223" s="121">
        <v>0.5</v>
      </c>
      <c r="H223" s="122">
        <v>0.5</v>
      </c>
      <c r="I223" s="121">
        <v>0.5</v>
      </c>
      <c r="J223" s="122">
        <v>0.5</v>
      </c>
      <c r="K223" s="121">
        <v>0.5</v>
      </c>
      <c r="L223" s="122">
        <v>0.5</v>
      </c>
      <c r="M223" s="121">
        <v>0.5</v>
      </c>
      <c r="N223" s="122">
        <v>0.5</v>
      </c>
      <c r="O223" s="121">
        <v>0.5</v>
      </c>
      <c r="P223" s="122">
        <v>0.5</v>
      </c>
      <c r="Q223" s="121">
        <v>0.5</v>
      </c>
    </row>
    <row r="224" spans="1:17" ht="15.75" customHeight="1" x14ac:dyDescent="0.25">
      <c r="A224" s="120" t="s">
        <v>279</v>
      </c>
      <c r="B224" s="321"/>
      <c r="C224" s="121">
        <v>0.5</v>
      </c>
      <c r="D224" s="122">
        <v>0.5</v>
      </c>
      <c r="E224" s="121">
        <v>0.5</v>
      </c>
      <c r="F224" s="122">
        <v>0.5</v>
      </c>
      <c r="G224" s="121">
        <v>0.5</v>
      </c>
      <c r="H224" s="122">
        <v>0.5</v>
      </c>
      <c r="I224" s="121">
        <v>0.5</v>
      </c>
      <c r="J224" s="122">
        <v>0.5</v>
      </c>
      <c r="K224" s="121">
        <v>0.5</v>
      </c>
      <c r="L224" s="122">
        <v>0.5</v>
      </c>
      <c r="M224" s="121">
        <v>0.5</v>
      </c>
      <c r="N224" s="122">
        <v>0.5</v>
      </c>
      <c r="O224" s="121">
        <v>0.5</v>
      </c>
      <c r="P224" s="122">
        <v>0.5</v>
      </c>
      <c r="Q224" s="121">
        <v>0.5</v>
      </c>
    </row>
    <row r="225" spans="1:17" ht="15.75" customHeight="1" x14ac:dyDescent="0.25">
      <c r="A225" s="120" t="s">
        <v>273</v>
      </c>
      <c r="B225" s="320" t="s">
        <v>284</v>
      </c>
      <c r="C225" s="121">
        <v>0.5</v>
      </c>
      <c r="D225" s="122">
        <v>0.5</v>
      </c>
      <c r="E225" s="121">
        <v>0.5</v>
      </c>
      <c r="F225" s="122">
        <v>0.5</v>
      </c>
      <c r="G225" s="121">
        <v>0.5</v>
      </c>
      <c r="H225" s="122">
        <v>0.5</v>
      </c>
      <c r="I225" s="121">
        <v>0.5</v>
      </c>
      <c r="J225" s="122">
        <v>0.5</v>
      </c>
      <c r="K225" s="121">
        <v>0.5</v>
      </c>
      <c r="L225" s="122">
        <v>0.5</v>
      </c>
      <c r="M225" s="121">
        <v>0.5</v>
      </c>
      <c r="N225" s="122">
        <v>0.5</v>
      </c>
      <c r="O225" s="121">
        <v>0.5</v>
      </c>
      <c r="P225" s="122">
        <v>0.5</v>
      </c>
      <c r="Q225" s="121">
        <v>0.5</v>
      </c>
    </row>
    <row r="226" spans="1:17" ht="15.75" customHeight="1" x14ac:dyDescent="0.25">
      <c r="A226" s="120" t="s">
        <v>276</v>
      </c>
      <c r="B226" s="312"/>
      <c r="C226" s="121">
        <v>0.5</v>
      </c>
      <c r="D226" s="122">
        <v>0.5</v>
      </c>
      <c r="E226" s="121">
        <v>0.5</v>
      </c>
      <c r="F226" s="122">
        <v>0.5</v>
      </c>
      <c r="G226" s="121">
        <v>0.5</v>
      </c>
      <c r="H226" s="122">
        <v>0.5</v>
      </c>
      <c r="I226" s="121">
        <v>0.5</v>
      </c>
      <c r="J226" s="122">
        <v>0.5</v>
      </c>
      <c r="K226" s="121">
        <v>0.5</v>
      </c>
      <c r="L226" s="122">
        <v>0.5</v>
      </c>
      <c r="M226" s="121">
        <v>0.5</v>
      </c>
      <c r="N226" s="122">
        <v>0.5</v>
      </c>
      <c r="O226" s="121">
        <v>0.5</v>
      </c>
      <c r="P226" s="122">
        <v>0.5</v>
      </c>
      <c r="Q226" s="121">
        <v>0.5</v>
      </c>
    </row>
    <row r="227" spans="1:17" ht="15.75" customHeight="1" x14ac:dyDescent="0.25">
      <c r="A227" s="120" t="s">
        <v>277</v>
      </c>
      <c r="B227" s="312"/>
      <c r="C227" s="121">
        <v>0.5</v>
      </c>
      <c r="D227" s="122">
        <v>0.5</v>
      </c>
      <c r="E227" s="121">
        <v>0.5</v>
      </c>
      <c r="F227" s="122">
        <v>0.5</v>
      </c>
      <c r="G227" s="121">
        <v>0.5</v>
      </c>
      <c r="H227" s="122">
        <v>0.5</v>
      </c>
      <c r="I227" s="121">
        <v>0.5</v>
      </c>
      <c r="J227" s="122">
        <v>0.5</v>
      </c>
      <c r="K227" s="121">
        <v>0.5</v>
      </c>
      <c r="L227" s="122">
        <v>0.5</v>
      </c>
      <c r="M227" s="121">
        <v>0.5</v>
      </c>
      <c r="N227" s="122">
        <v>0.5</v>
      </c>
      <c r="O227" s="121">
        <v>0.5</v>
      </c>
      <c r="P227" s="122">
        <v>0.5</v>
      </c>
      <c r="Q227" s="121">
        <v>0.5</v>
      </c>
    </row>
    <row r="228" spans="1:17" ht="15.75" customHeight="1" x14ac:dyDescent="0.25">
      <c r="A228" s="120" t="s">
        <v>278</v>
      </c>
      <c r="B228" s="312"/>
      <c r="C228" s="121">
        <v>0.5</v>
      </c>
      <c r="D228" s="122">
        <v>0.5</v>
      </c>
      <c r="E228" s="121">
        <v>0.5</v>
      </c>
      <c r="F228" s="122">
        <v>0.5</v>
      </c>
      <c r="G228" s="121">
        <v>0.5</v>
      </c>
      <c r="H228" s="122">
        <v>0.5</v>
      </c>
      <c r="I228" s="121">
        <v>0.5</v>
      </c>
      <c r="J228" s="122">
        <v>0.5</v>
      </c>
      <c r="K228" s="121">
        <v>0.5</v>
      </c>
      <c r="L228" s="122">
        <v>0.5</v>
      </c>
      <c r="M228" s="121">
        <v>0.5</v>
      </c>
      <c r="N228" s="122">
        <v>0.5</v>
      </c>
      <c r="O228" s="121">
        <v>0.5</v>
      </c>
      <c r="P228" s="122">
        <v>0.5</v>
      </c>
      <c r="Q228" s="121">
        <v>0.5</v>
      </c>
    </row>
    <row r="229" spans="1:17" ht="15.75" customHeight="1" x14ac:dyDescent="0.25">
      <c r="A229" s="123" t="s">
        <v>279</v>
      </c>
      <c r="B229" s="309"/>
      <c r="C229" s="121">
        <v>0.5</v>
      </c>
      <c r="D229" s="122">
        <v>0.5</v>
      </c>
      <c r="E229" s="121">
        <v>0.5</v>
      </c>
      <c r="F229" s="122">
        <v>0.5</v>
      </c>
      <c r="G229" s="121">
        <v>0.5</v>
      </c>
      <c r="H229" s="122">
        <v>0.5</v>
      </c>
      <c r="I229" s="121">
        <v>0.5</v>
      </c>
      <c r="J229" s="122">
        <v>0.5</v>
      </c>
      <c r="K229" s="121">
        <v>0.5</v>
      </c>
      <c r="L229" s="122">
        <v>0.5</v>
      </c>
      <c r="M229" s="121">
        <v>0.5</v>
      </c>
      <c r="N229" s="122">
        <v>0.5</v>
      </c>
      <c r="O229" s="121">
        <v>0.5</v>
      </c>
      <c r="P229" s="122">
        <v>0.5</v>
      </c>
      <c r="Q229" s="121">
        <v>0.5</v>
      </c>
    </row>
    <row r="230" spans="1:17" ht="15.75" customHeight="1" x14ac:dyDescent="0.25"/>
    <row r="231" spans="1:17" ht="15.75" customHeight="1" x14ac:dyDescent="0.25"/>
    <row r="232" spans="1:17" ht="15.75" customHeight="1" x14ac:dyDescent="0.25"/>
    <row r="233" spans="1:17" ht="15.75" customHeight="1" x14ac:dyDescent="0.25"/>
    <row r="234" spans="1:17" ht="15.75" customHeight="1" x14ac:dyDescent="0.25"/>
    <row r="235" spans="1:17" ht="15.75" customHeight="1" x14ac:dyDescent="0.25"/>
    <row r="236" spans="1:17" ht="15.75" customHeight="1" x14ac:dyDescent="0.25"/>
    <row r="237" spans="1:17" ht="15.75" customHeight="1" x14ac:dyDescent="0.25"/>
    <row r="238" spans="1:17" ht="15.75" customHeight="1" x14ac:dyDescent="0.25"/>
    <row r="239" spans="1:17" ht="15.75" customHeight="1" x14ac:dyDescent="0.25"/>
    <row r="240" spans="1:1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4">
    <mergeCell ref="B210:B214"/>
    <mergeCell ref="B215:B219"/>
    <mergeCell ref="B220:B224"/>
    <mergeCell ref="B225:B229"/>
    <mergeCell ref="A59:A60"/>
    <mergeCell ref="B59:B60"/>
    <mergeCell ref="A71:C71"/>
    <mergeCell ref="C59:C60"/>
    <mergeCell ref="A61:A62"/>
    <mergeCell ref="B61:B62"/>
    <mergeCell ref="C61:C62"/>
    <mergeCell ref="A64:A65"/>
    <mergeCell ref="E71:G71"/>
    <mergeCell ref="A92:B92"/>
    <mergeCell ref="A199:C199"/>
    <mergeCell ref="B205:B209"/>
    <mergeCell ref="B64:B65"/>
    <mergeCell ref="C64:C65"/>
    <mergeCell ref="A67:A68"/>
    <mergeCell ref="B67:B68"/>
    <mergeCell ref="C67:C68"/>
    <mergeCell ref="A50:A51"/>
    <mergeCell ref="B50:B51"/>
    <mergeCell ref="C50:C51"/>
    <mergeCell ref="B57:B58"/>
    <mergeCell ref="C57:C58"/>
    <mergeCell ref="A52:A53"/>
    <mergeCell ref="B52:B53"/>
    <mergeCell ref="C52:C53"/>
    <mergeCell ref="A54:A55"/>
    <mergeCell ref="B54:B55"/>
    <mergeCell ref="C54:C55"/>
    <mergeCell ref="A57:A58"/>
    <mergeCell ref="H28:J28"/>
    <mergeCell ref="A30:C30"/>
    <mergeCell ref="E30:G30"/>
    <mergeCell ref="E32:G32"/>
    <mergeCell ref="A36:C36"/>
    <mergeCell ref="E36:G36"/>
    <mergeCell ref="A22:C22"/>
    <mergeCell ref="A23:C23"/>
    <mergeCell ref="A24:C24"/>
    <mergeCell ref="A27:C27"/>
    <mergeCell ref="E28:G28"/>
  </mergeCells>
  <conditionalFormatting sqref="B165:R165">
    <cfRule type="cellIs" dxfId="12" priority="6" operator="lessThan">
      <formula>0</formula>
    </cfRule>
    <cfRule type="cellIs" dxfId="11" priority="8" operator="equal">
      <formula>"na"</formula>
    </cfRule>
    <cfRule type="cellIs" dxfId="10" priority="9" operator="equal">
      <formula>0</formula>
    </cfRule>
  </conditionalFormatting>
  <conditionalFormatting sqref="C204:S204">
    <cfRule type="cellIs" dxfId="9" priority="1" operator="lessThan">
      <formula>0</formula>
    </cfRule>
    <cfRule type="cellIs" dxfId="8" priority="3" operator="equal">
      <formula>"na"</formula>
    </cfRule>
    <cfRule type="cellIs" dxfId="7" priority="4" operator="equal">
      <formula>0</formula>
    </cfRule>
  </conditionalFormatting>
  <dataValidations count="2">
    <dataValidation type="custom" allowBlank="1" showInputMessage="1" showErrorMessage="1" prompt="Error - Energy intensity for all sectors is selected" sqref="S166:AH170 S178:AH182" xr:uid="{00000000-0002-0000-0100-000000000000}">
      <formula1>#REF!=1</formula1>
    </dataValidation>
    <dataValidation type="custom" allowBlank="1" showInputMessage="1" showErrorMessage="1" prompt="Error - Energy intensity for all sectors is selected" sqref="B166:D170 G166:R170 B178:D182 G178:R182" xr:uid="{00000000-0002-0000-0100-000001000000}">
      <formula1>$A$370=1</formula1>
    </dataValidation>
  </dataValidation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</sheetPr>
  <dimension ref="A2:AH1000"/>
  <sheetViews>
    <sheetView workbookViewId="0"/>
  </sheetViews>
  <sheetFormatPr baseColWidth="10" defaultColWidth="14.42578125" defaultRowHeight="15" customHeight="1" x14ac:dyDescent="0.25"/>
  <cols>
    <col min="1" max="1" width="54.42578125" customWidth="1"/>
    <col min="2" max="2" width="32.42578125" customWidth="1"/>
    <col min="3" max="3" width="12" customWidth="1"/>
    <col min="4" max="4" width="15.42578125" customWidth="1"/>
    <col min="5" max="5" width="39.7109375" customWidth="1"/>
    <col min="6" max="6" width="24.28515625" customWidth="1"/>
    <col min="7" max="7" width="25.7109375" customWidth="1"/>
    <col min="8" max="8" width="13.7109375" customWidth="1"/>
    <col min="9" max="9" width="13.42578125" customWidth="1"/>
    <col min="10" max="18" width="10.7109375" customWidth="1"/>
    <col min="19" max="20" width="17.7109375" customWidth="1"/>
    <col min="21" max="21" width="16.7109375" customWidth="1"/>
    <col min="22" max="23" width="13.42578125" customWidth="1"/>
    <col min="24" max="25" width="10.7109375" customWidth="1"/>
    <col min="26" max="26" width="21.28515625" customWidth="1"/>
    <col min="27" max="34" width="10.7109375" customWidth="1"/>
  </cols>
  <sheetData>
    <row r="2" spans="1:34" x14ac:dyDescent="0.25">
      <c r="A2" s="22" t="s">
        <v>0</v>
      </c>
      <c r="B2" s="1" t="s">
        <v>70</v>
      </c>
      <c r="C2" s="1" t="s">
        <v>71</v>
      </c>
      <c r="E2" s="11"/>
      <c r="U2" s="11"/>
      <c r="V2" s="11"/>
      <c r="X2" s="11"/>
    </row>
    <row r="3" spans="1:34" x14ac:dyDescent="0.25">
      <c r="A3" s="1"/>
      <c r="B3" s="25" t="s">
        <v>8</v>
      </c>
      <c r="C3" s="25" t="s">
        <v>8</v>
      </c>
      <c r="E3" s="11"/>
      <c r="U3" s="11"/>
      <c r="V3" s="11"/>
      <c r="X3" s="11"/>
    </row>
    <row r="4" spans="1:34" x14ac:dyDescent="0.25">
      <c r="A4" s="2" t="s">
        <v>11</v>
      </c>
      <c r="B4" s="3">
        <v>0.15</v>
      </c>
      <c r="C4" s="21">
        <v>0.32300000000000001</v>
      </c>
      <c r="E4" s="8"/>
      <c r="U4" s="27"/>
      <c r="X4" s="28"/>
    </row>
    <row r="5" spans="1:34" x14ac:dyDescent="0.25">
      <c r="A5" s="6" t="s">
        <v>13</v>
      </c>
      <c r="B5" s="4">
        <v>0.15</v>
      </c>
      <c r="C5" s="21">
        <v>0.87505785833012495</v>
      </c>
      <c r="E5" s="8"/>
      <c r="F5" s="30"/>
      <c r="U5" s="8"/>
      <c r="X5" s="31"/>
    </row>
    <row r="6" spans="1:34" x14ac:dyDescent="0.25">
      <c r="A6" s="6" t="s">
        <v>14</v>
      </c>
      <c r="B6" s="4">
        <v>0.15</v>
      </c>
      <c r="C6" s="5">
        <v>0.56817304588193196</v>
      </c>
      <c r="E6" s="8"/>
      <c r="U6" s="8"/>
      <c r="X6" s="31"/>
    </row>
    <row r="7" spans="1:34" x14ac:dyDescent="0.25">
      <c r="A7" s="6" t="s">
        <v>15</v>
      </c>
      <c r="B7" s="4">
        <v>0.15</v>
      </c>
      <c r="C7" s="5">
        <v>0.218125647741333</v>
      </c>
      <c r="E7" s="8"/>
      <c r="U7" s="8"/>
      <c r="X7" s="31"/>
    </row>
    <row r="8" spans="1:34" x14ac:dyDescent="0.25">
      <c r="A8" s="6" t="s">
        <v>16</v>
      </c>
      <c r="B8" s="4">
        <v>5.5230257097554247E-2</v>
      </c>
      <c r="C8" s="5">
        <v>0.22092102839021699</v>
      </c>
      <c r="E8" s="8"/>
      <c r="U8" s="8"/>
      <c r="X8" s="31"/>
    </row>
    <row r="9" spans="1:34" x14ac:dyDescent="0.25">
      <c r="A9" s="6" t="s">
        <v>17</v>
      </c>
      <c r="B9" s="4">
        <v>8.0828506856390495E-2</v>
      </c>
      <c r="C9" s="5">
        <v>0.32331402742556198</v>
      </c>
      <c r="E9" s="8"/>
      <c r="U9" s="8"/>
      <c r="X9" s="31"/>
    </row>
    <row r="10" spans="1:34" x14ac:dyDescent="0.25">
      <c r="A10" s="6" t="s">
        <v>18</v>
      </c>
      <c r="B10" s="4">
        <v>2.8603317808730499E-2</v>
      </c>
      <c r="C10" s="5">
        <v>0.114413271234922</v>
      </c>
      <c r="E10" s="8"/>
      <c r="U10" s="8"/>
      <c r="X10" s="31"/>
    </row>
    <row r="11" spans="1:34" x14ac:dyDescent="0.25">
      <c r="A11" s="6" t="s">
        <v>19</v>
      </c>
      <c r="B11" s="32">
        <v>6.25E-2</v>
      </c>
      <c r="C11" s="5">
        <v>0.25</v>
      </c>
      <c r="E11" s="8"/>
      <c r="U11" s="8"/>
      <c r="X11" s="31"/>
    </row>
    <row r="12" spans="1:34" x14ac:dyDescent="0.25">
      <c r="A12" s="34"/>
      <c r="B12" s="35"/>
      <c r="C12" s="35"/>
      <c r="E12" s="8"/>
      <c r="U12" s="8"/>
      <c r="X12" s="31"/>
    </row>
    <row r="13" spans="1:34" x14ac:dyDescent="0.25">
      <c r="A13" s="36" t="s">
        <v>20</v>
      </c>
      <c r="B13" s="37">
        <v>0.6</v>
      </c>
      <c r="C13" s="5">
        <v>0.76519999999999999</v>
      </c>
      <c r="D13" s="8"/>
      <c r="E13" s="8"/>
      <c r="U13" s="8"/>
      <c r="X13" s="31"/>
    </row>
    <row r="14" spans="1:34" x14ac:dyDescent="0.25">
      <c r="A14" s="39"/>
      <c r="B14" s="39"/>
      <c r="C14" s="3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x14ac:dyDescent="0.25">
      <c r="A15" s="40" t="s">
        <v>21</v>
      </c>
      <c r="B15" s="4" t="s">
        <v>12</v>
      </c>
      <c r="C15" s="124">
        <v>9.5000000000000001E-2</v>
      </c>
      <c r="D15" s="8"/>
      <c r="E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8"/>
      <c r="T15" s="8"/>
      <c r="U15" s="42"/>
      <c r="V15" s="42"/>
      <c r="X15" s="42"/>
    </row>
    <row r="16" spans="1:34" x14ac:dyDescent="0.25">
      <c r="A16" s="12" t="s">
        <v>22</v>
      </c>
      <c r="B16" s="4" t="s">
        <v>12</v>
      </c>
      <c r="C16" s="125">
        <v>0.2693423675046</v>
      </c>
      <c r="D16" s="8"/>
      <c r="E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8"/>
      <c r="T16" s="8"/>
      <c r="U16" s="42"/>
      <c r="V16" s="42"/>
      <c r="X16" s="42"/>
    </row>
    <row r="17" spans="1:24" x14ac:dyDescent="0.25">
      <c r="A17" s="12" t="s">
        <v>23</v>
      </c>
      <c r="B17" s="4" t="s">
        <v>12</v>
      </c>
      <c r="C17" s="126">
        <v>0.56799999999999995</v>
      </c>
      <c r="D17" s="8"/>
      <c r="E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8"/>
      <c r="T17" s="8"/>
      <c r="U17" s="42"/>
      <c r="V17" s="42"/>
      <c r="X17" s="42"/>
    </row>
    <row r="20" spans="1:24" x14ac:dyDescent="0.25">
      <c r="A20" s="22" t="s">
        <v>72</v>
      </c>
      <c r="B20" s="14">
        <v>0</v>
      </c>
      <c r="C20" s="14">
        <f t="shared" ref="C20:K20" si="0">1+B20</f>
        <v>1</v>
      </c>
      <c r="D20" s="14">
        <f t="shared" si="0"/>
        <v>2</v>
      </c>
      <c r="E20" s="14">
        <f t="shared" si="0"/>
        <v>3</v>
      </c>
      <c r="F20" s="14">
        <f t="shared" si="0"/>
        <v>4</v>
      </c>
      <c r="G20" s="14">
        <f t="shared" si="0"/>
        <v>5</v>
      </c>
      <c r="H20" s="14">
        <f t="shared" si="0"/>
        <v>6</v>
      </c>
      <c r="I20" s="14">
        <f t="shared" si="0"/>
        <v>7</v>
      </c>
      <c r="J20" s="14">
        <f t="shared" si="0"/>
        <v>8</v>
      </c>
      <c r="K20" s="34">
        <f t="shared" si="0"/>
        <v>9</v>
      </c>
      <c r="L20" s="127"/>
    </row>
    <row r="21" spans="1:24" ht="15.75" customHeight="1" x14ac:dyDescent="0.25">
      <c r="A21" s="6" t="s">
        <v>73</v>
      </c>
      <c r="B21" s="14"/>
      <c r="C21" s="14"/>
      <c r="D21" s="14"/>
      <c r="E21" s="14"/>
      <c r="F21" s="14"/>
      <c r="G21" s="14"/>
      <c r="H21" s="14"/>
      <c r="I21" s="14"/>
      <c r="J21" s="14"/>
      <c r="K21" s="34"/>
      <c r="L21" s="127"/>
    </row>
    <row r="22" spans="1:24" ht="15.75" customHeight="1" x14ac:dyDescent="0.25">
      <c r="A22" s="297"/>
      <c r="B22" s="298"/>
      <c r="C22" s="298"/>
    </row>
    <row r="23" spans="1:24" ht="15.75" customHeight="1" x14ac:dyDescent="0.25">
      <c r="A23" s="299"/>
      <c r="B23" s="298"/>
      <c r="C23" s="298"/>
    </row>
    <row r="24" spans="1:24" ht="15.75" customHeight="1" x14ac:dyDescent="0.25">
      <c r="A24" s="300" t="s">
        <v>30</v>
      </c>
      <c r="B24" s="301"/>
      <c r="C24" s="302"/>
      <c r="L24" s="44"/>
    </row>
    <row r="25" spans="1:24" ht="15.75" customHeight="1" x14ac:dyDescent="0.25">
      <c r="A25" s="6" t="s">
        <v>74</v>
      </c>
      <c r="B25" s="14" t="s">
        <v>8</v>
      </c>
      <c r="C25" s="14">
        <v>0.37440000000000001</v>
      </c>
      <c r="L25" s="44"/>
    </row>
    <row r="26" spans="1:24" ht="15.75" customHeight="1" x14ac:dyDescent="0.25">
      <c r="A26" s="6" t="s">
        <v>75</v>
      </c>
      <c r="B26" s="14" t="s">
        <v>8</v>
      </c>
      <c r="C26" s="14">
        <v>0.37730000000000002</v>
      </c>
      <c r="E26" s="6" t="s">
        <v>76</v>
      </c>
      <c r="F26" s="14" t="s">
        <v>8</v>
      </c>
      <c r="G26" s="17">
        <v>0</v>
      </c>
      <c r="L26" s="44"/>
    </row>
    <row r="27" spans="1:24" ht="15.75" customHeight="1" x14ac:dyDescent="0.25">
      <c r="A27" s="303" t="s">
        <v>77</v>
      </c>
      <c r="B27" s="294"/>
      <c r="C27" s="295"/>
      <c r="E27" s="6" t="s">
        <v>78</v>
      </c>
      <c r="F27" s="14" t="s">
        <v>8</v>
      </c>
      <c r="G27" s="128">
        <v>0.4</v>
      </c>
      <c r="L27" s="45"/>
    </row>
    <row r="28" spans="1:24" ht="15.75" customHeight="1" x14ac:dyDescent="0.25">
      <c r="A28" s="6" t="s">
        <v>79</v>
      </c>
      <c r="B28" s="14" t="s">
        <v>80</v>
      </c>
      <c r="C28" s="14">
        <v>0</v>
      </c>
      <c r="E28" s="303" t="s">
        <v>32</v>
      </c>
      <c r="F28" s="294"/>
      <c r="G28" s="295"/>
      <c r="H28" s="297"/>
      <c r="I28" s="298"/>
      <c r="J28" s="298"/>
      <c r="L28" s="45"/>
    </row>
    <row r="29" spans="1:24" ht="15.75" customHeight="1" x14ac:dyDescent="0.25">
      <c r="A29" s="6"/>
      <c r="B29" s="14"/>
      <c r="C29" s="14"/>
      <c r="E29" s="6" t="s">
        <v>83</v>
      </c>
      <c r="F29" s="14" t="s">
        <v>8</v>
      </c>
      <c r="G29" s="129">
        <v>0.14499999999999999</v>
      </c>
    </row>
    <row r="30" spans="1:24" ht="15.75" customHeight="1" x14ac:dyDescent="0.25">
      <c r="A30" s="303" t="s">
        <v>84</v>
      </c>
      <c r="B30" s="294"/>
      <c r="C30" s="295"/>
      <c r="E30" s="303" t="s">
        <v>85</v>
      </c>
      <c r="F30" s="294"/>
      <c r="G30" s="295"/>
    </row>
    <row r="31" spans="1:24" ht="15.75" customHeight="1" x14ac:dyDescent="0.25">
      <c r="A31" s="6" t="s">
        <v>86</v>
      </c>
      <c r="B31" s="14" t="s">
        <v>8</v>
      </c>
      <c r="C31" s="41">
        <v>0.244478293983244</v>
      </c>
      <c r="E31" s="6" t="s">
        <v>87</v>
      </c>
      <c r="F31" s="14" t="s">
        <v>8</v>
      </c>
      <c r="G31" s="128">
        <f>5.32*0.000001</f>
        <v>5.3199999999999999E-6</v>
      </c>
    </row>
    <row r="32" spans="1:24" ht="15.75" customHeight="1" x14ac:dyDescent="0.25">
      <c r="A32" s="6" t="s">
        <v>88</v>
      </c>
      <c r="B32" s="14" t="s">
        <v>8</v>
      </c>
      <c r="C32" s="41">
        <v>0.76834862385321101</v>
      </c>
      <c r="E32" s="303" t="s">
        <v>89</v>
      </c>
      <c r="F32" s="294"/>
      <c r="G32" s="295"/>
      <c r="L32" s="43"/>
    </row>
    <row r="33" spans="1:31" ht="15.75" customHeight="1" x14ac:dyDescent="0.25">
      <c r="A33" s="6" t="s">
        <v>90</v>
      </c>
      <c r="B33" s="14" t="s">
        <v>8</v>
      </c>
      <c r="C33" s="41">
        <v>0.392710023717389</v>
      </c>
      <c r="E33" s="6" t="s">
        <v>91</v>
      </c>
      <c r="F33" s="14" t="s">
        <v>8</v>
      </c>
      <c r="G33" s="128">
        <v>1</v>
      </c>
      <c r="L33" s="43"/>
    </row>
    <row r="34" spans="1:31" ht="15.75" customHeight="1" x14ac:dyDescent="0.25">
      <c r="A34" s="6" t="s">
        <v>92</v>
      </c>
      <c r="B34" s="14" t="s">
        <v>8</v>
      </c>
      <c r="C34" s="41">
        <v>0.13480214704780899</v>
      </c>
      <c r="L34" s="43"/>
    </row>
    <row r="35" spans="1:31" ht="15.75" customHeight="1" x14ac:dyDescent="0.25">
      <c r="C35" s="42"/>
      <c r="L35" s="43"/>
    </row>
    <row r="36" spans="1:31" ht="15.75" customHeight="1" x14ac:dyDescent="0.25">
      <c r="A36" s="303" t="s">
        <v>93</v>
      </c>
      <c r="B36" s="294"/>
      <c r="C36" s="295"/>
      <c r="E36" s="304" t="s">
        <v>94</v>
      </c>
      <c r="F36" s="294"/>
      <c r="G36" s="295"/>
    </row>
    <row r="37" spans="1:31" ht="15.75" customHeight="1" x14ac:dyDescent="0.25">
      <c r="A37" s="6" t="s">
        <v>95</v>
      </c>
      <c r="B37" s="14" t="s">
        <v>8</v>
      </c>
      <c r="C37" s="14">
        <v>0.13039754609635801</v>
      </c>
      <c r="E37" s="6" t="s">
        <v>96</v>
      </c>
      <c r="F37" s="14" t="s">
        <v>8</v>
      </c>
      <c r="G37" s="14">
        <v>1.14209516861471E-2</v>
      </c>
    </row>
    <row r="38" spans="1:31" ht="15.75" customHeight="1" x14ac:dyDescent="0.25">
      <c r="A38" s="6" t="s">
        <v>97</v>
      </c>
      <c r="B38" s="14" t="s">
        <v>8</v>
      </c>
      <c r="C38" s="14">
        <v>0.34589813650460799</v>
      </c>
      <c r="E38" s="6" t="s">
        <v>98</v>
      </c>
      <c r="F38" s="14" t="s">
        <v>8</v>
      </c>
      <c r="G38" s="14">
        <v>0.49963235712887299</v>
      </c>
    </row>
    <row r="39" spans="1:31" ht="15.75" customHeight="1" x14ac:dyDescent="0.25">
      <c r="A39" s="6" t="s">
        <v>99</v>
      </c>
      <c r="B39" s="14" t="s">
        <v>8</v>
      </c>
      <c r="C39" s="14">
        <v>0.35663248946729598</v>
      </c>
      <c r="E39" s="6" t="s">
        <v>100</v>
      </c>
      <c r="F39" s="14" t="s">
        <v>8</v>
      </c>
      <c r="G39" s="14">
        <v>0.24135376706838099</v>
      </c>
    </row>
    <row r="40" spans="1:31" ht="15.75" customHeight="1" x14ac:dyDescent="0.25">
      <c r="A40" s="6" t="s">
        <v>101</v>
      </c>
      <c r="B40" s="14" t="s">
        <v>8</v>
      </c>
      <c r="C40" s="14">
        <v>0.167071827931737</v>
      </c>
      <c r="E40" s="6" t="s">
        <v>102</v>
      </c>
      <c r="F40" s="14" t="s">
        <v>8</v>
      </c>
      <c r="G40" s="14">
        <v>0.247592924116599</v>
      </c>
    </row>
    <row r="41" spans="1:31" ht="15.75" customHeight="1" x14ac:dyDescent="0.25">
      <c r="A41" s="6" t="s">
        <v>103</v>
      </c>
      <c r="B41" s="14" t="s">
        <v>8</v>
      </c>
      <c r="C41" s="14">
        <v>0.63439608476056397</v>
      </c>
      <c r="E41" s="6" t="s">
        <v>104</v>
      </c>
      <c r="F41" s="14" t="s">
        <v>8</v>
      </c>
      <c r="G41" s="14">
        <v>0.79853554193116405</v>
      </c>
    </row>
    <row r="42" spans="1:31" ht="15.75" customHeight="1" x14ac:dyDescent="0.25">
      <c r="A42" s="6" t="s">
        <v>105</v>
      </c>
      <c r="B42" s="14" t="s">
        <v>8</v>
      </c>
      <c r="C42" s="14">
        <v>0.27828205974290499</v>
      </c>
      <c r="E42" s="6" t="s">
        <v>106</v>
      </c>
      <c r="F42" s="14" t="s">
        <v>8</v>
      </c>
      <c r="G42" s="14">
        <v>0.28398848745531602</v>
      </c>
      <c r="Y42" s="45"/>
    </row>
    <row r="43" spans="1:31" ht="15.75" customHeight="1" x14ac:dyDescent="0.25">
      <c r="A43" s="6" t="s">
        <v>107</v>
      </c>
      <c r="B43" s="14" t="s">
        <v>8</v>
      </c>
      <c r="C43" s="14">
        <v>0.45888678683727702</v>
      </c>
      <c r="E43" s="6" t="s">
        <v>108</v>
      </c>
      <c r="F43" s="14" t="s">
        <v>8</v>
      </c>
      <c r="G43" s="14">
        <v>9.8902887164583606E-2</v>
      </c>
      <c r="Z43" s="47"/>
    </row>
    <row r="44" spans="1:31" ht="15.75" customHeight="1" x14ac:dyDescent="0.25">
      <c r="A44" s="6" t="s">
        <v>109</v>
      </c>
      <c r="B44" s="14" t="s">
        <v>8</v>
      </c>
      <c r="C44" s="14">
        <v>0.157459845131462</v>
      </c>
      <c r="E44" s="6" t="s">
        <v>110</v>
      </c>
      <c r="F44" s="14" t="s">
        <v>8</v>
      </c>
      <c r="G44" s="14">
        <v>0.40546674718124398</v>
      </c>
    </row>
    <row r="45" spans="1:31" ht="15.75" customHeight="1" x14ac:dyDescent="0.25"/>
    <row r="46" spans="1:31" ht="15.75" customHeight="1" x14ac:dyDescent="0.25"/>
    <row r="47" spans="1:31" ht="15.75" customHeight="1" x14ac:dyDescent="0.25">
      <c r="A47" s="48" t="s">
        <v>111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spans="1:31" ht="15.75" customHeight="1" x14ac:dyDescent="0.25">
      <c r="A48" s="50" t="s">
        <v>0</v>
      </c>
      <c r="B48" s="51" t="s">
        <v>112</v>
      </c>
      <c r="C48" s="52" t="s">
        <v>113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3"/>
      <c r="V48" s="53"/>
      <c r="W48" s="53"/>
      <c r="X48" s="53"/>
      <c r="Y48" s="53"/>
      <c r="Z48" s="53"/>
      <c r="AA48" s="54"/>
      <c r="AB48" s="53"/>
      <c r="AC48" s="53"/>
      <c r="AD48" s="53"/>
      <c r="AE48" s="53"/>
    </row>
    <row r="49" spans="1:31" ht="15.75" customHeight="1" x14ac:dyDescent="0.25">
      <c r="A49" s="19" t="s">
        <v>114</v>
      </c>
      <c r="B49" s="55"/>
      <c r="C49" s="56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8"/>
      <c r="AE49" s="58"/>
    </row>
    <row r="50" spans="1:31" ht="15.75" customHeight="1" x14ac:dyDescent="0.25">
      <c r="A50" s="305" t="s">
        <v>115</v>
      </c>
      <c r="B50" s="307" t="s">
        <v>12</v>
      </c>
      <c r="C50" s="322"/>
      <c r="D50" s="59" t="s">
        <v>116</v>
      </c>
      <c r="E50" s="66"/>
      <c r="F50" s="66"/>
      <c r="G50" s="66"/>
      <c r="H50" s="65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1"/>
      <c r="AB50" s="60"/>
      <c r="AC50" s="60"/>
      <c r="AD50" s="60"/>
      <c r="AE50" s="60"/>
    </row>
    <row r="51" spans="1:31" ht="15.75" customHeight="1" x14ac:dyDescent="0.25">
      <c r="A51" s="306"/>
      <c r="B51" s="306"/>
      <c r="C51" s="309"/>
      <c r="D51" s="59" t="s">
        <v>117</v>
      </c>
      <c r="E51" s="70"/>
      <c r="F51" s="70"/>
      <c r="G51" s="70"/>
      <c r="H51" s="63"/>
      <c r="I51" s="63"/>
      <c r="J51" s="63"/>
      <c r="K51" s="62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4"/>
      <c r="AB51" s="63"/>
      <c r="AC51" s="63"/>
      <c r="AD51" s="63"/>
      <c r="AE51" s="63"/>
    </row>
    <row r="52" spans="1:31" ht="15.75" customHeight="1" x14ac:dyDescent="0.25">
      <c r="A52" s="307" t="s">
        <v>118</v>
      </c>
      <c r="B52" s="307" t="s">
        <v>12</v>
      </c>
      <c r="C52" s="322"/>
      <c r="D52" s="130" t="s">
        <v>116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</row>
    <row r="53" spans="1:31" ht="15.75" customHeight="1" x14ac:dyDescent="0.25">
      <c r="A53" s="311"/>
      <c r="B53" s="306"/>
      <c r="C53" s="309"/>
      <c r="D53" s="130" t="s">
        <v>117</v>
      </c>
      <c r="E53" s="62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8"/>
      <c r="W53" s="68"/>
      <c r="X53" s="68"/>
      <c r="Y53" s="68"/>
      <c r="Z53" s="68"/>
      <c r="AA53" s="68"/>
      <c r="AB53" s="68"/>
      <c r="AC53" s="68"/>
      <c r="AD53" s="68"/>
      <c r="AE53" s="68"/>
    </row>
    <row r="54" spans="1:31" ht="15.75" customHeight="1" x14ac:dyDescent="0.25">
      <c r="A54" s="307" t="s">
        <v>119</v>
      </c>
      <c r="B54" s="323">
        <v>0.5</v>
      </c>
      <c r="C54" s="324"/>
      <c r="D54" s="130" t="s">
        <v>116</v>
      </c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2"/>
      <c r="AB54" s="131"/>
      <c r="AC54" s="131"/>
      <c r="AD54" s="131"/>
      <c r="AE54" s="131"/>
    </row>
    <row r="55" spans="1:31" ht="15.75" customHeight="1" x14ac:dyDescent="0.25">
      <c r="A55" s="306"/>
      <c r="B55" s="321"/>
      <c r="C55" s="321"/>
      <c r="D55" s="130" t="s">
        <v>117</v>
      </c>
      <c r="E55" s="133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5"/>
      <c r="AB55" s="134"/>
      <c r="AC55" s="134"/>
      <c r="AD55" s="134"/>
      <c r="AE55" s="134"/>
    </row>
    <row r="56" spans="1:31" ht="15.75" customHeight="1" x14ac:dyDescent="0.25">
      <c r="A56" s="19" t="s">
        <v>120</v>
      </c>
      <c r="B56" s="56"/>
      <c r="C56" s="56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8"/>
      <c r="AE56" s="58"/>
    </row>
    <row r="57" spans="1:31" ht="15.75" customHeight="1" x14ac:dyDescent="0.25">
      <c r="A57" s="307" t="s">
        <v>121</v>
      </c>
      <c r="B57" s="307" t="s">
        <v>12</v>
      </c>
      <c r="C57" s="322"/>
      <c r="D57" s="59" t="s">
        <v>116</v>
      </c>
      <c r="E57" s="65"/>
      <c r="F57" s="65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5"/>
      <c r="R57" s="65"/>
      <c r="S57" s="65"/>
      <c r="T57" s="65"/>
      <c r="U57" s="65"/>
      <c r="V57" s="65"/>
      <c r="W57" s="65"/>
      <c r="X57" s="66"/>
      <c r="Y57" s="66"/>
      <c r="Z57" s="66"/>
      <c r="AA57" s="66"/>
      <c r="AB57" s="66"/>
      <c r="AC57" s="66"/>
      <c r="AD57" s="66"/>
      <c r="AE57" s="66"/>
    </row>
    <row r="58" spans="1:31" ht="15.75" customHeight="1" x14ac:dyDescent="0.25">
      <c r="A58" s="306"/>
      <c r="B58" s="306"/>
      <c r="C58" s="309"/>
      <c r="D58" s="59" t="s">
        <v>117</v>
      </c>
      <c r="E58" s="63"/>
      <c r="F58" s="63"/>
      <c r="G58" s="62"/>
      <c r="H58" s="63"/>
      <c r="I58" s="63"/>
      <c r="J58" s="63"/>
      <c r="K58" s="63"/>
      <c r="L58" s="63"/>
      <c r="M58" s="63"/>
      <c r="N58" s="63"/>
      <c r="O58" s="63"/>
      <c r="P58" s="63"/>
      <c r="Q58" s="68"/>
      <c r="R58" s="68"/>
      <c r="S58" s="68"/>
      <c r="T58" s="68"/>
      <c r="U58" s="68"/>
      <c r="V58" s="68"/>
      <c r="W58" s="68"/>
      <c r="X58" s="70"/>
      <c r="Y58" s="70"/>
      <c r="Z58" s="70"/>
      <c r="AA58" s="70"/>
      <c r="AB58" s="70"/>
      <c r="AC58" s="70"/>
      <c r="AD58" s="70"/>
      <c r="AE58" s="70"/>
    </row>
    <row r="59" spans="1:31" ht="15.75" customHeight="1" x14ac:dyDescent="0.25">
      <c r="A59" s="307" t="s">
        <v>122</v>
      </c>
      <c r="B59" s="307" t="s">
        <v>12</v>
      </c>
      <c r="C59" s="322"/>
      <c r="D59" s="59" t="s">
        <v>116</v>
      </c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5"/>
      <c r="P59" s="65"/>
      <c r="Q59" s="65"/>
      <c r="R59" s="65"/>
      <c r="S59" s="65"/>
      <c r="T59" s="65"/>
      <c r="U59" s="65"/>
      <c r="V59" s="65"/>
      <c r="W59" s="65"/>
      <c r="X59" s="66"/>
      <c r="Y59" s="66"/>
      <c r="Z59" s="66"/>
      <c r="AA59" s="66"/>
      <c r="AB59" s="66"/>
      <c r="AC59" s="66"/>
      <c r="AD59" s="66"/>
      <c r="AE59" s="66"/>
    </row>
    <row r="60" spans="1:31" ht="15.75" customHeight="1" x14ac:dyDescent="0.25">
      <c r="A60" s="311"/>
      <c r="B60" s="306"/>
      <c r="C60" s="309"/>
      <c r="D60" s="59" t="s">
        <v>117</v>
      </c>
      <c r="E60" s="67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9"/>
      <c r="Y60" s="69"/>
      <c r="Z60" s="69"/>
      <c r="AA60" s="69"/>
      <c r="AB60" s="69"/>
      <c r="AC60" s="69"/>
      <c r="AD60" s="69"/>
      <c r="AE60" s="69"/>
    </row>
    <row r="61" spans="1:31" ht="15.75" customHeight="1" x14ac:dyDescent="0.25">
      <c r="A61" s="307" t="s">
        <v>123</v>
      </c>
      <c r="B61" s="323">
        <v>0.5</v>
      </c>
      <c r="C61" s="324"/>
      <c r="D61" s="130" t="s">
        <v>116</v>
      </c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2"/>
      <c r="AB61" s="131"/>
      <c r="AC61" s="131"/>
      <c r="AD61" s="131"/>
      <c r="AE61" s="131"/>
    </row>
    <row r="62" spans="1:31" ht="15.75" customHeight="1" x14ac:dyDescent="0.25">
      <c r="A62" s="306"/>
      <c r="B62" s="321"/>
      <c r="C62" s="321"/>
      <c r="D62" s="130" t="s">
        <v>117</v>
      </c>
      <c r="E62" s="133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5"/>
      <c r="AB62" s="134"/>
      <c r="AC62" s="134"/>
      <c r="AD62" s="134"/>
      <c r="AE62" s="134"/>
    </row>
    <row r="63" spans="1:31" ht="15.75" customHeight="1" x14ac:dyDescent="0.25">
      <c r="A63" s="19" t="s">
        <v>124</v>
      </c>
      <c r="B63" s="56"/>
      <c r="C63" s="56"/>
      <c r="D63" s="57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58"/>
      <c r="AE63" s="58"/>
    </row>
    <row r="64" spans="1:31" ht="15.75" customHeight="1" x14ac:dyDescent="0.25">
      <c r="A64" s="307" t="s">
        <v>125</v>
      </c>
      <c r="B64" s="307" t="s">
        <v>12</v>
      </c>
      <c r="C64" s="322"/>
      <c r="D64" s="59" t="s">
        <v>116</v>
      </c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5"/>
      <c r="P64" s="65"/>
      <c r="Q64" s="65"/>
      <c r="R64" s="65"/>
      <c r="S64" s="65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</row>
    <row r="65" spans="1:34" ht="15.75" customHeight="1" x14ac:dyDescent="0.25">
      <c r="A65" s="306"/>
      <c r="B65" s="311"/>
      <c r="C65" s="309"/>
      <c r="D65" s="59" t="s">
        <v>117</v>
      </c>
      <c r="E65" s="62"/>
      <c r="F65" s="63"/>
      <c r="G65" s="63"/>
      <c r="H65" s="63"/>
      <c r="I65" s="63"/>
      <c r="J65" s="63"/>
      <c r="K65" s="63"/>
      <c r="L65" s="63"/>
      <c r="M65" s="63"/>
      <c r="N65" s="63"/>
      <c r="O65" s="68"/>
      <c r="P65" s="68"/>
      <c r="Q65" s="63"/>
      <c r="R65" s="63"/>
      <c r="S65" s="63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</row>
    <row r="66" spans="1:34" ht="15.75" customHeight="1" x14ac:dyDescent="0.25">
      <c r="A66" s="19" t="s">
        <v>126</v>
      </c>
      <c r="B66" s="56"/>
      <c r="C66" s="56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8"/>
      <c r="AE66" s="58"/>
    </row>
    <row r="67" spans="1:34" ht="15.75" customHeight="1" x14ac:dyDescent="0.25">
      <c r="A67" s="307" t="s">
        <v>127</v>
      </c>
      <c r="B67" s="307" t="s">
        <v>12</v>
      </c>
      <c r="C67" s="324"/>
      <c r="D67" s="59" t="s">
        <v>116</v>
      </c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2"/>
      <c r="AB67" s="131"/>
      <c r="AC67" s="131"/>
      <c r="AD67" s="131"/>
      <c r="AE67" s="131"/>
    </row>
    <row r="68" spans="1:34" ht="15.75" customHeight="1" x14ac:dyDescent="0.25">
      <c r="A68" s="306"/>
      <c r="B68" s="306"/>
      <c r="C68" s="321"/>
      <c r="D68" s="59" t="s">
        <v>117</v>
      </c>
      <c r="E68" s="133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5"/>
      <c r="AB68" s="134"/>
      <c r="AC68" s="134"/>
      <c r="AD68" s="134"/>
      <c r="AE68" s="134"/>
      <c r="AF68" s="134"/>
      <c r="AG68" s="134"/>
      <c r="AH68" s="134"/>
    </row>
    <row r="69" spans="1:34" ht="15.75" customHeight="1" x14ac:dyDescent="0.25"/>
    <row r="70" spans="1:34" ht="15.75" customHeight="1" x14ac:dyDescent="0.25">
      <c r="A70" s="137" t="s">
        <v>285</v>
      </c>
      <c r="B70" s="14" t="s">
        <v>8</v>
      </c>
      <c r="C70" s="14">
        <v>0.1</v>
      </c>
      <c r="D70" s="44" t="s">
        <v>286</v>
      </c>
    </row>
    <row r="71" spans="1:34" ht="15.75" customHeight="1" x14ac:dyDescent="0.25"/>
    <row r="72" spans="1:34" ht="15.75" customHeight="1" x14ac:dyDescent="0.25">
      <c r="A72" s="325" t="s">
        <v>287</v>
      </c>
      <c r="B72" s="326"/>
      <c r="C72" s="327"/>
    </row>
    <row r="73" spans="1:34" ht="15.75" customHeight="1" x14ac:dyDescent="0.25">
      <c r="A73" s="137" t="s">
        <v>288</v>
      </c>
      <c r="B73" s="14" t="s">
        <v>8</v>
      </c>
      <c r="C73" s="138">
        <v>0.67</v>
      </c>
    </row>
    <row r="74" spans="1:34" ht="15.75" customHeight="1" x14ac:dyDescent="0.25">
      <c r="A74" s="139" t="s">
        <v>289</v>
      </c>
      <c r="B74" s="14" t="s">
        <v>8</v>
      </c>
      <c r="C74" s="14">
        <v>0.23</v>
      </c>
    </row>
    <row r="75" spans="1:34" ht="15.75" customHeight="1" x14ac:dyDescent="0.25">
      <c r="A75" s="139" t="s">
        <v>290</v>
      </c>
      <c r="B75" s="14" t="s">
        <v>8</v>
      </c>
      <c r="C75" s="14">
        <v>0.12</v>
      </c>
      <c r="D75" s="44" t="s">
        <v>291</v>
      </c>
    </row>
    <row r="76" spans="1:34" ht="15.75" customHeight="1" x14ac:dyDescent="0.25">
      <c r="G76" s="30"/>
    </row>
    <row r="77" spans="1:34" ht="15.75" customHeight="1" x14ac:dyDescent="0.25"/>
    <row r="78" spans="1:34" ht="15.75" customHeight="1" x14ac:dyDescent="0.25">
      <c r="A78" s="314" t="s">
        <v>128</v>
      </c>
      <c r="B78" s="315"/>
      <c r="C78" s="317"/>
      <c r="E78" s="314" t="s">
        <v>129</v>
      </c>
      <c r="F78" s="315"/>
      <c r="G78" s="316"/>
    </row>
    <row r="79" spans="1:34" ht="15.75" customHeight="1" x14ac:dyDescent="0.25">
      <c r="A79" s="73" t="s">
        <v>130</v>
      </c>
      <c r="B79" s="60" t="s">
        <v>131</v>
      </c>
      <c r="C79" s="75">
        <v>0.04</v>
      </c>
      <c r="E79" s="59" t="s">
        <v>132</v>
      </c>
      <c r="F79" s="72" t="s">
        <v>80</v>
      </c>
      <c r="G79" s="21"/>
    </row>
    <row r="80" spans="1:34" ht="15.75" customHeight="1" x14ac:dyDescent="0.25">
      <c r="A80" s="73" t="s">
        <v>133</v>
      </c>
      <c r="B80" s="60" t="s">
        <v>134</v>
      </c>
      <c r="C80" s="75">
        <v>0.105877704845945</v>
      </c>
      <c r="E80" s="59" t="s">
        <v>135</v>
      </c>
      <c r="F80" s="72" t="s">
        <v>80</v>
      </c>
      <c r="G80" s="21"/>
    </row>
    <row r="81" spans="1:7" ht="15.75" customHeight="1" x14ac:dyDescent="0.25">
      <c r="A81" s="73" t="s">
        <v>136</v>
      </c>
      <c r="B81" s="60" t="s">
        <v>134</v>
      </c>
      <c r="C81" s="75">
        <v>0</v>
      </c>
      <c r="E81" s="59" t="s">
        <v>137</v>
      </c>
      <c r="F81" s="72" t="s">
        <v>80</v>
      </c>
      <c r="G81" s="21"/>
    </row>
    <row r="82" spans="1:7" ht="15.75" customHeight="1" x14ac:dyDescent="0.25">
      <c r="A82" s="73" t="s">
        <v>138</v>
      </c>
      <c r="B82" s="60" t="s">
        <v>134</v>
      </c>
      <c r="C82" s="75">
        <v>1.00306230884133E-2</v>
      </c>
      <c r="E82" s="59" t="s">
        <v>139</v>
      </c>
      <c r="F82" s="72" t="s">
        <v>80</v>
      </c>
      <c r="G82" s="21"/>
    </row>
    <row r="83" spans="1:7" ht="15.75" customHeight="1" x14ac:dyDescent="0.25">
      <c r="A83" s="59" t="s">
        <v>140</v>
      </c>
      <c r="B83" s="60" t="s">
        <v>131</v>
      </c>
      <c r="C83" s="75">
        <v>7.3373047771474499E-3</v>
      </c>
      <c r="E83" s="59" t="s">
        <v>141</v>
      </c>
      <c r="F83" s="72" t="s">
        <v>80</v>
      </c>
      <c r="G83" s="21"/>
    </row>
    <row r="84" spans="1:7" ht="15.75" customHeight="1" x14ac:dyDescent="0.25">
      <c r="A84" s="59" t="s">
        <v>142</v>
      </c>
      <c r="B84" s="60" t="s">
        <v>131</v>
      </c>
      <c r="C84" s="75">
        <v>3.4059881933656402E-2</v>
      </c>
      <c r="E84" s="59" t="s">
        <v>143</v>
      </c>
      <c r="F84" s="72" t="s">
        <v>80</v>
      </c>
      <c r="G84" s="21"/>
    </row>
    <row r="85" spans="1:7" ht="15.75" customHeight="1" x14ac:dyDescent="0.25">
      <c r="A85" s="59" t="s">
        <v>144</v>
      </c>
      <c r="B85" s="60" t="s">
        <v>131</v>
      </c>
      <c r="C85" s="75">
        <v>3.5044102527025597E-2</v>
      </c>
    </row>
    <row r="86" spans="1:7" ht="15.75" customHeight="1" x14ac:dyDescent="0.25">
      <c r="A86" s="59" t="s">
        <v>145</v>
      </c>
      <c r="B86" s="60" t="s">
        <v>131</v>
      </c>
      <c r="C86" s="75">
        <v>3.7665450101400698E-3</v>
      </c>
    </row>
    <row r="87" spans="1:7" ht="15.75" customHeight="1" x14ac:dyDescent="0.25">
      <c r="A87" s="59" t="s">
        <v>146</v>
      </c>
      <c r="B87" s="60" t="s">
        <v>131</v>
      </c>
      <c r="C87" s="75">
        <v>8.6731989356148897E-2</v>
      </c>
    </row>
    <row r="88" spans="1:7" ht="15.75" customHeight="1" x14ac:dyDescent="0.25">
      <c r="A88" s="59" t="s">
        <v>147</v>
      </c>
      <c r="B88" s="60" t="s">
        <v>131</v>
      </c>
      <c r="C88" s="75">
        <v>0.25360546762719499</v>
      </c>
    </row>
    <row r="89" spans="1:7" ht="15.75" customHeight="1" x14ac:dyDescent="0.25">
      <c r="A89" s="59" t="s">
        <v>148</v>
      </c>
      <c r="B89" s="60" t="s">
        <v>131</v>
      </c>
      <c r="C89" s="75">
        <v>9.5342894061122105E-2</v>
      </c>
    </row>
    <row r="90" spans="1:7" ht="15.75" customHeight="1" x14ac:dyDescent="0.25">
      <c r="A90" s="59" t="s">
        <v>149</v>
      </c>
      <c r="B90" s="60" t="s">
        <v>131</v>
      </c>
      <c r="C90" s="75">
        <v>3.5597332934596701E-2</v>
      </c>
    </row>
    <row r="91" spans="1:7" ht="15.75" customHeight="1" x14ac:dyDescent="0.25">
      <c r="A91" s="59" t="s">
        <v>150</v>
      </c>
      <c r="B91" s="72" t="s">
        <v>134</v>
      </c>
      <c r="C91" s="75">
        <v>0.42106889441555201</v>
      </c>
    </row>
    <row r="92" spans="1:7" ht="15.75" customHeight="1" x14ac:dyDescent="0.25">
      <c r="A92" s="59" t="s">
        <v>151</v>
      </c>
      <c r="B92" s="72" t="s">
        <v>134</v>
      </c>
      <c r="C92" s="75">
        <v>8.5000000000000006E-2</v>
      </c>
    </row>
    <row r="93" spans="1:7" ht="15.75" customHeight="1" x14ac:dyDescent="0.25">
      <c r="A93" s="59" t="s">
        <v>152</v>
      </c>
      <c r="B93" s="72" t="s">
        <v>134</v>
      </c>
      <c r="C93" s="75">
        <v>4.2000000000000003E-2</v>
      </c>
    </row>
    <row r="94" spans="1:7" ht="15.75" customHeight="1" x14ac:dyDescent="0.25">
      <c r="A94" s="59" t="s">
        <v>153</v>
      </c>
      <c r="B94" s="72" t="s">
        <v>134</v>
      </c>
      <c r="C94" s="75">
        <v>6.3E-2</v>
      </c>
    </row>
    <row r="95" spans="1:7" ht="15.75" customHeight="1" x14ac:dyDescent="0.25">
      <c r="A95" s="59" t="s">
        <v>154</v>
      </c>
      <c r="B95" s="72" t="s">
        <v>134</v>
      </c>
      <c r="C95" s="75">
        <v>4.9000000000000002E-2</v>
      </c>
    </row>
    <row r="96" spans="1:7" ht="15.75" customHeight="1" x14ac:dyDescent="0.25">
      <c r="A96" s="59" t="s">
        <v>155</v>
      </c>
      <c r="B96" s="72" t="s">
        <v>134</v>
      </c>
      <c r="C96" s="75">
        <v>0</v>
      </c>
    </row>
    <row r="97" spans="1:26" ht="15.75" customHeight="1" x14ac:dyDescent="0.25"/>
    <row r="98" spans="1:26" ht="15.75" customHeight="1" x14ac:dyDescent="0.25"/>
    <row r="99" spans="1:26" ht="15.75" customHeight="1" x14ac:dyDescent="0.25">
      <c r="A99" s="314" t="s">
        <v>30</v>
      </c>
      <c r="B99" s="317"/>
      <c r="C99" s="13">
        <v>1995</v>
      </c>
      <c r="D99" s="13">
        <v>1996</v>
      </c>
      <c r="E99" s="13">
        <v>1997</v>
      </c>
      <c r="F99" s="13">
        <v>1998</v>
      </c>
      <c r="G99" s="13">
        <v>1999</v>
      </c>
      <c r="H99" s="13">
        <v>2000</v>
      </c>
      <c r="I99" s="13">
        <v>2001</v>
      </c>
      <c r="J99" s="13">
        <v>2002</v>
      </c>
      <c r="K99" s="13">
        <v>2003</v>
      </c>
      <c r="L99" s="13">
        <v>2004</v>
      </c>
      <c r="M99" s="13">
        <v>2005</v>
      </c>
      <c r="N99" s="13">
        <v>2006</v>
      </c>
      <c r="O99" s="13">
        <v>2007</v>
      </c>
      <c r="P99" s="13">
        <v>2008</v>
      </c>
      <c r="Q99" s="13">
        <v>2009</v>
      </c>
      <c r="R99" s="13">
        <v>2010</v>
      </c>
      <c r="S99" s="13">
        <v>2011</v>
      </c>
      <c r="T99" s="13">
        <v>2012</v>
      </c>
      <c r="U99" s="13">
        <v>2013</v>
      </c>
      <c r="V99" s="13">
        <v>2014</v>
      </c>
      <c r="W99" s="13">
        <v>2015</v>
      </c>
    </row>
    <row r="100" spans="1:26" ht="15.75" customHeight="1" x14ac:dyDescent="0.25">
      <c r="A100" s="140" t="s">
        <v>157</v>
      </c>
      <c r="B100" s="13" t="s">
        <v>8</v>
      </c>
      <c r="C100" s="14">
        <v>0.87675194217077002</v>
      </c>
      <c r="D100" s="14">
        <v>0.85086856996795801</v>
      </c>
      <c r="E100" s="14">
        <v>0.84070761245302394</v>
      </c>
      <c r="F100" s="14">
        <v>0.84357257533065899</v>
      </c>
      <c r="G100" s="14">
        <v>0.82669432901456197</v>
      </c>
      <c r="H100" s="14">
        <v>0.84856130501422999</v>
      </c>
      <c r="I100" s="14">
        <v>0.84375544022096605</v>
      </c>
      <c r="J100" s="14">
        <v>0.85018180922456299</v>
      </c>
      <c r="K100" s="14">
        <v>0.79739244608827897</v>
      </c>
      <c r="L100" s="14">
        <v>0.80758860201681704</v>
      </c>
      <c r="M100" s="14">
        <v>0.80005633646598795</v>
      </c>
      <c r="N100" s="14">
        <v>0.79143990919359297</v>
      </c>
      <c r="O100" s="14">
        <v>0.79548297816809899</v>
      </c>
      <c r="P100" s="14">
        <v>0.81186045032402798</v>
      </c>
      <c r="Q100" s="14">
        <v>0.80216825443972295</v>
      </c>
      <c r="R100" s="14">
        <v>0.81389918027987496</v>
      </c>
      <c r="S100" s="14">
        <v>0.78874426584839097</v>
      </c>
      <c r="T100" s="14">
        <v>0.815314148847054</v>
      </c>
      <c r="U100" s="14">
        <v>0.80076133144890305</v>
      </c>
      <c r="V100" s="14">
        <v>0.80031307934995299</v>
      </c>
      <c r="W100" s="14">
        <v>0.80297733091458501</v>
      </c>
    </row>
    <row r="101" spans="1:26" ht="15.75" customHeight="1" x14ac:dyDescent="0.25">
      <c r="A101" s="140" t="s">
        <v>158</v>
      </c>
      <c r="B101" s="13" t="s">
        <v>8</v>
      </c>
      <c r="C101" s="14">
        <v>0.31644197448309802</v>
      </c>
      <c r="D101" s="14">
        <v>0.322548886662268</v>
      </c>
      <c r="E101" s="14">
        <v>0.34590101803795398</v>
      </c>
      <c r="F101" s="14">
        <v>0.34258539129500198</v>
      </c>
      <c r="G101" s="14">
        <v>0.35381538245095301</v>
      </c>
      <c r="H101" s="14">
        <v>0.37509288744978903</v>
      </c>
      <c r="I101" s="14">
        <v>0.384548125060721</v>
      </c>
      <c r="J101" s="14">
        <v>0.375187565980727</v>
      </c>
      <c r="K101" s="14">
        <v>0.381231641543956</v>
      </c>
      <c r="L101" s="14">
        <v>0.39070700382962897</v>
      </c>
      <c r="M101" s="14">
        <v>0.40885817241338601</v>
      </c>
      <c r="N101" s="14">
        <v>0.40653191792040899</v>
      </c>
      <c r="O101" s="14">
        <v>0.41404433499327098</v>
      </c>
      <c r="P101" s="14">
        <v>0.416056273901527</v>
      </c>
      <c r="Q101" s="14">
        <v>0.42419990767645299</v>
      </c>
      <c r="R101" s="14">
        <v>0.42425776188888398</v>
      </c>
      <c r="S101" s="14">
        <v>0.42650575651474198</v>
      </c>
      <c r="T101" s="14">
        <v>0.43704327471509502</v>
      </c>
      <c r="U101" s="14">
        <v>0.44403109814772401</v>
      </c>
      <c r="V101" s="14">
        <v>0.44225694213266697</v>
      </c>
      <c r="W101" s="14">
        <v>0.45116700758481398</v>
      </c>
    </row>
    <row r="102" spans="1:26" ht="15.75" customHeight="1" x14ac:dyDescent="0.25">
      <c r="A102" s="140" t="s">
        <v>159</v>
      </c>
      <c r="B102" s="13" t="s">
        <v>8</v>
      </c>
      <c r="C102" s="14">
        <v>0.33536923509845001</v>
      </c>
      <c r="D102" s="14">
        <v>0.323294931245037</v>
      </c>
      <c r="E102" s="14">
        <v>0.31714964797246498</v>
      </c>
      <c r="F102" s="14">
        <v>0.35351857960351901</v>
      </c>
      <c r="G102" s="14">
        <v>0.30987725259552301</v>
      </c>
      <c r="H102" s="14">
        <v>0.30445315465398898</v>
      </c>
      <c r="I102" s="14">
        <v>0.35110379718726198</v>
      </c>
      <c r="J102" s="14">
        <v>0.33566058357657702</v>
      </c>
      <c r="K102" s="14">
        <v>0.28928045340567698</v>
      </c>
      <c r="L102" s="14">
        <v>0.32704068247258</v>
      </c>
      <c r="M102" s="14">
        <v>0.31422681451330398</v>
      </c>
      <c r="N102" s="14">
        <v>0.30706259468073599</v>
      </c>
      <c r="O102" s="14">
        <v>0.29235437759899502</v>
      </c>
      <c r="P102" s="14">
        <v>0.28782592453962003</v>
      </c>
      <c r="Q102" s="14">
        <v>0.282907975724425</v>
      </c>
      <c r="R102" s="14">
        <v>0.29038259279371997</v>
      </c>
      <c r="S102" s="14">
        <v>0.29541452488994502</v>
      </c>
      <c r="T102" s="14">
        <v>0.28331766749461201</v>
      </c>
      <c r="U102" s="14">
        <v>0.29381219064948799</v>
      </c>
      <c r="V102" s="14">
        <v>0.29137802362662102</v>
      </c>
      <c r="W102" s="14">
        <v>0.28090757837303698</v>
      </c>
    </row>
    <row r="103" spans="1:26" ht="15.75" customHeight="1" x14ac:dyDescent="0.25">
      <c r="A103" s="140" t="s">
        <v>160</v>
      </c>
      <c r="B103" s="13" t="s">
        <v>8</v>
      </c>
      <c r="C103" s="14">
        <v>0.78242606854414598</v>
      </c>
      <c r="D103" s="14">
        <v>0.78970178335195396</v>
      </c>
      <c r="E103" s="14">
        <v>0.80151301778964401</v>
      </c>
      <c r="F103" s="14">
        <v>0.81120215550957397</v>
      </c>
      <c r="G103" s="14">
        <v>0.813147077606996</v>
      </c>
      <c r="H103" s="14">
        <v>0.81064620228767703</v>
      </c>
      <c r="I103" s="14">
        <v>0.81226411540795496</v>
      </c>
      <c r="J103" s="14">
        <v>0.80598024449879502</v>
      </c>
      <c r="K103" s="14">
        <v>0.67693890852157601</v>
      </c>
      <c r="L103" s="14">
        <v>0.66779488001534104</v>
      </c>
      <c r="M103" s="14">
        <v>0.78217560387496399</v>
      </c>
      <c r="N103" s="14">
        <v>0.76997454312417002</v>
      </c>
      <c r="O103" s="14">
        <v>0.75843437231423505</v>
      </c>
      <c r="P103" s="14">
        <v>0.78344684232148498</v>
      </c>
      <c r="Q103" s="14">
        <v>0.78918042156089996</v>
      </c>
      <c r="R103" s="14">
        <v>0.778311084073394</v>
      </c>
      <c r="S103" s="14">
        <v>0.75356013012824197</v>
      </c>
      <c r="T103" s="14">
        <v>0.76040480466471905</v>
      </c>
      <c r="U103" s="14">
        <v>0.80119165665406</v>
      </c>
      <c r="V103" s="14">
        <v>0.810097253544806</v>
      </c>
      <c r="W103" s="14">
        <v>0.80703252526595803</v>
      </c>
    </row>
    <row r="104" spans="1:26" ht="15.75" customHeight="1" x14ac:dyDescent="0.25">
      <c r="A104" s="140" t="s">
        <v>161</v>
      </c>
      <c r="B104" s="13" t="s">
        <v>8</v>
      </c>
      <c r="C104" s="14">
        <v>0.288939711937651</v>
      </c>
      <c r="D104" s="14">
        <v>0.290843178627057</v>
      </c>
      <c r="E104" s="14">
        <v>0.29215368476727399</v>
      </c>
      <c r="F104" s="14">
        <v>0.29094969966454298</v>
      </c>
      <c r="G104" s="14">
        <v>0.29633044067585801</v>
      </c>
      <c r="H104" s="14">
        <v>0.30118466637754199</v>
      </c>
      <c r="I104" s="14">
        <v>0.30537004304081899</v>
      </c>
      <c r="J104" s="14">
        <v>0.31064970248706297</v>
      </c>
      <c r="K104" s="14">
        <v>0.32186301886726398</v>
      </c>
      <c r="L104" s="14">
        <v>0.31653593537090102</v>
      </c>
      <c r="M104" s="14">
        <v>0.31518864768409199</v>
      </c>
      <c r="N104" s="14">
        <v>0.32117038354327798</v>
      </c>
      <c r="O104" s="14">
        <v>0.318974943144268</v>
      </c>
      <c r="P104" s="14">
        <v>0.31680104849295898</v>
      </c>
      <c r="Q104" s="14">
        <v>0.31701811565879401</v>
      </c>
      <c r="R104" s="14">
        <v>0.31938718049369302</v>
      </c>
      <c r="S104" s="14">
        <v>0.32211259237862999</v>
      </c>
      <c r="T104" s="14">
        <v>0.31929327932837698</v>
      </c>
      <c r="U104" s="14">
        <v>0.32243028136617702</v>
      </c>
      <c r="V104" s="14">
        <v>0.32424974097475201</v>
      </c>
      <c r="W104" s="14">
        <v>0.32796034612043601</v>
      </c>
    </row>
    <row r="105" spans="1:26" ht="15.75" customHeight="1" x14ac:dyDescent="0.25">
      <c r="A105" s="140" t="s">
        <v>162</v>
      </c>
      <c r="B105" s="13" t="s">
        <v>8</v>
      </c>
      <c r="C105" s="14">
        <v>0.241705086022696</v>
      </c>
      <c r="D105" s="14">
        <v>0.245262672943421</v>
      </c>
      <c r="E105" s="14">
        <v>0.25133903645233902</v>
      </c>
      <c r="F105" s="14">
        <v>0.26066393388872899</v>
      </c>
      <c r="G105" s="14">
        <v>0.26280810730593102</v>
      </c>
      <c r="H105" s="14">
        <v>0.25031637224788</v>
      </c>
      <c r="I105" s="14">
        <v>0.24481599615380001</v>
      </c>
      <c r="J105" s="14">
        <v>0.23720009667238001</v>
      </c>
      <c r="K105" s="14">
        <v>0.22928093664511101</v>
      </c>
      <c r="L105" s="14">
        <v>0.24183339802470499</v>
      </c>
      <c r="M105" s="14">
        <v>0.23774485602738801</v>
      </c>
      <c r="N105" s="14">
        <v>0.22829235706589099</v>
      </c>
      <c r="O105" s="14">
        <v>0.225161741461151</v>
      </c>
      <c r="P105" s="14">
        <v>0.22841600026014899</v>
      </c>
      <c r="Q105" s="14">
        <v>0.225156650381232</v>
      </c>
      <c r="R105" s="14">
        <v>0.21463870612143199</v>
      </c>
      <c r="S105" s="14">
        <v>0.200944922186166</v>
      </c>
      <c r="T105" s="14">
        <v>0.208262339506642</v>
      </c>
      <c r="U105" s="14">
        <v>0.21173823367754299</v>
      </c>
      <c r="V105" s="14">
        <v>0.19892998853159699</v>
      </c>
      <c r="W105" s="14">
        <v>0.20277646636163599</v>
      </c>
    </row>
    <row r="106" spans="1:26" ht="15.75" customHeight="1" x14ac:dyDescent="0.25">
      <c r="A106" s="140" t="s">
        <v>163</v>
      </c>
      <c r="B106" s="13" t="s">
        <v>8</v>
      </c>
      <c r="C106" s="14">
        <v>0.82018993182544198</v>
      </c>
      <c r="D106" s="14">
        <v>0.81580872466999599</v>
      </c>
      <c r="E106" s="14">
        <v>0.73575675875046798</v>
      </c>
      <c r="F106" s="14">
        <v>0.81726893765612296</v>
      </c>
      <c r="G106" s="14">
        <v>0.81054395403919999</v>
      </c>
      <c r="H106" s="14">
        <v>0.77772942078047602</v>
      </c>
      <c r="I106" s="14">
        <v>0.81997162892333997</v>
      </c>
      <c r="J106" s="14">
        <v>0.74840163668559201</v>
      </c>
      <c r="K106" s="14">
        <v>0.850803668935038</v>
      </c>
      <c r="L106" s="14">
        <v>0.78930616419650301</v>
      </c>
      <c r="M106" s="14">
        <v>0.81272240947112795</v>
      </c>
      <c r="N106" s="14">
        <v>0.82817602800281498</v>
      </c>
      <c r="O106" s="14">
        <v>0.82632699455129399</v>
      </c>
      <c r="P106" s="14">
        <v>0.81186038843981301</v>
      </c>
      <c r="Q106" s="14">
        <v>0.81413956561306</v>
      </c>
      <c r="R106" s="14">
        <v>0.82154349953685302</v>
      </c>
      <c r="S106" s="14">
        <v>0.79788411959771099</v>
      </c>
      <c r="T106" s="14">
        <v>0.80251721551121802</v>
      </c>
      <c r="U106" s="14">
        <v>0.81707337833317795</v>
      </c>
      <c r="V106" s="14">
        <v>0.70874743902204895</v>
      </c>
      <c r="W106" s="14">
        <v>0.80251756070729696</v>
      </c>
      <c r="Y106" s="79"/>
    </row>
    <row r="107" spans="1:26" ht="15.75" customHeight="1" x14ac:dyDescent="0.25">
      <c r="A107" s="140" t="s">
        <v>164</v>
      </c>
      <c r="B107" s="13" t="s">
        <v>8</v>
      </c>
      <c r="C107" s="14">
        <v>0.30585263489285502</v>
      </c>
      <c r="D107" s="14">
        <v>0.32162155959953398</v>
      </c>
      <c r="E107" s="14">
        <v>0.33700716630028499</v>
      </c>
      <c r="F107" s="14">
        <v>0.35840234432261497</v>
      </c>
      <c r="G107" s="14">
        <v>0.36426862824508499</v>
      </c>
      <c r="H107" s="14">
        <v>0.40968129109423002</v>
      </c>
      <c r="I107" s="14">
        <v>0.37862651942431103</v>
      </c>
      <c r="J107" s="14">
        <v>0.41977109922304501</v>
      </c>
      <c r="K107" s="14">
        <v>0.34103743884033899</v>
      </c>
      <c r="L107" s="14">
        <v>0.35445240913988801</v>
      </c>
      <c r="M107" s="14">
        <v>0.33585260916422799</v>
      </c>
      <c r="N107" s="14">
        <v>0.31947125804196203</v>
      </c>
      <c r="O107" s="14">
        <v>0.30631610680971</v>
      </c>
      <c r="P107" s="14">
        <v>0.30261194993176299</v>
      </c>
      <c r="Q107" s="14">
        <v>0.30434044639741997</v>
      </c>
      <c r="R107" s="14">
        <v>0.284125504884574</v>
      </c>
      <c r="S107" s="14">
        <v>0.28424314922969302</v>
      </c>
      <c r="T107" s="14">
        <v>0.305208300231818</v>
      </c>
      <c r="U107" s="14">
        <v>0.29286295340930402</v>
      </c>
      <c r="V107" s="14">
        <v>0.30397959658425799</v>
      </c>
      <c r="W107" s="14">
        <v>0.28572156842645102</v>
      </c>
    </row>
    <row r="108" spans="1:26" ht="15.75" customHeight="1" x14ac:dyDescent="0.25">
      <c r="A108" s="140" t="s">
        <v>165</v>
      </c>
      <c r="B108" s="13" t="s">
        <v>8</v>
      </c>
      <c r="C108" s="14">
        <v>0.391663767533449</v>
      </c>
      <c r="D108" s="14">
        <v>0.39540118621190301</v>
      </c>
      <c r="E108" s="14">
        <v>0.34405217602980498</v>
      </c>
      <c r="F108" s="14">
        <v>0.354676675494706</v>
      </c>
      <c r="G108" s="14">
        <v>0.30613228183062802</v>
      </c>
      <c r="H108" s="14">
        <v>0.32158595439073001</v>
      </c>
      <c r="I108" s="14">
        <v>0.32605779023213899</v>
      </c>
      <c r="J108" s="14">
        <v>0.27970926530433898</v>
      </c>
      <c r="K108" s="14">
        <v>0.183511718676483</v>
      </c>
      <c r="L108" s="14">
        <v>0.28807321911197398</v>
      </c>
      <c r="M108" s="14">
        <v>0.28062616997135797</v>
      </c>
      <c r="N108" s="14">
        <v>0.29666225467524698</v>
      </c>
      <c r="O108" s="14">
        <v>0.27139869077641299</v>
      </c>
      <c r="P108" s="14">
        <v>0.25685535286030597</v>
      </c>
      <c r="Q108" s="14">
        <v>0.316164557753352</v>
      </c>
      <c r="R108" s="14">
        <v>0.28582328325678502</v>
      </c>
      <c r="S108" s="14">
        <v>0.27229690129527201</v>
      </c>
      <c r="T108" s="14">
        <v>0.234963633275175</v>
      </c>
      <c r="U108" s="14">
        <v>0.26981180322347098</v>
      </c>
      <c r="V108" s="14">
        <v>0.240124466860756</v>
      </c>
      <c r="W108" s="14">
        <v>0.221638959649581</v>
      </c>
    </row>
    <row r="109" spans="1:26" ht="15.75" customHeight="1" x14ac:dyDescent="0.25">
      <c r="A109" s="140" t="s">
        <v>166</v>
      </c>
      <c r="B109" s="13" t="s">
        <v>167</v>
      </c>
      <c r="C109" s="78">
        <v>43.32</v>
      </c>
      <c r="D109" s="78">
        <v>43.78</v>
      </c>
      <c r="E109" s="78">
        <v>45.61</v>
      </c>
      <c r="F109" s="78">
        <v>46.47</v>
      </c>
      <c r="G109" s="78">
        <v>47.63</v>
      </c>
      <c r="H109" s="78">
        <v>48.11</v>
      </c>
      <c r="I109" s="78">
        <v>47.98</v>
      </c>
      <c r="J109" s="78">
        <v>48.04</v>
      </c>
      <c r="K109" s="78">
        <v>50.24</v>
      </c>
      <c r="L109" s="78">
        <v>49.26</v>
      </c>
      <c r="M109" s="78">
        <v>49.86</v>
      </c>
      <c r="N109" s="78">
        <v>49.76</v>
      </c>
      <c r="O109" s="78">
        <v>51.27</v>
      </c>
      <c r="P109" s="78">
        <v>51.87</v>
      </c>
      <c r="Q109" s="78">
        <v>50.92</v>
      </c>
      <c r="R109" s="78">
        <v>50.23</v>
      </c>
      <c r="S109" s="78">
        <v>51.44</v>
      </c>
      <c r="T109" s="78">
        <v>51.36</v>
      </c>
      <c r="U109" s="78">
        <v>51.04</v>
      </c>
      <c r="V109" s="83">
        <v>51.11</v>
      </c>
      <c r="W109" s="78">
        <v>51.87</v>
      </c>
    </row>
    <row r="110" spans="1:26" ht="15.75" customHeight="1" x14ac:dyDescent="0.25">
      <c r="A110" s="140" t="s">
        <v>168</v>
      </c>
      <c r="B110" s="13" t="s">
        <v>8</v>
      </c>
      <c r="C110" s="14">
        <v>2.9113799999999999E-3</v>
      </c>
      <c r="D110" s="14">
        <v>2.8836199999999999E-3</v>
      </c>
      <c r="E110" s="14">
        <v>3.2693000000000002E-3</v>
      </c>
      <c r="F110" s="14">
        <v>2.8406199999999999E-3</v>
      </c>
      <c r="G110" s="14">
        <v>3.3656799999999998E-3</v>
      </c>
      <c r="H110" s="14">
        <v>3.4980300000000001E-3</v>
      </c>
      <c r="I110" s="14">
        <v>2.6304800000000001E-3</v>
      </c>
      <c r="J110" s="14">
        <v>2.2082E-3</v>
      </c>
      <c r="K110" s="14">
        <v>2.20929E-3</v>
      </c>
      <c r="L110" s="14">
        <v>1.9817799999999998E-3</v>
      </c>
      <c r="M110" s="14">
        <v>1.4687299999999999E-3</v>
      </c>
      <c r="N110" s="14">
        <v>1.31478E-3</v>
      </c>
      <c r="O110" s="14">
        <v>1.34534E-3</v>
      </c>
      <c r="P110" s="14">
        <v>1.6720400000000001E-3</v>
      </c>
      <c r="Q110" s="14">
        <v>6.1995599999999998E-3</v>
      </c>
      <c r="R110" s="14">
        <v>5.7698699999999999E-3</v>
      </c>
      <c r="S110" s="14">
        <v>5.7648500000000002E-3</v>
      </c>
      <c r="T110" s="14">
        <v>6.4333999999999997E-3</v>
      </c>
      <c r="U110" s="14">
        <v>5.9911399999999998E-3</v>
      </c>
      <c r="V110" s="14">
        <v>6.35653E-3</v>
      </c>
      <c r="W110" s="14">
        <v>6.01857E-3</v>
      </c>
    </row>
    <row r="111" spans="1:26" ht="15.75" customHeight="1" x14ac:dyDescent="0.25">
      <c r="A111" s="140" t="s">
        <v>169</v>
      </c>
      <c r="B111" s="13" t="s">
        <v>8</v>
      </c>
      <c r="C111" s="14">
        <v>0.14297779999999999</v>
      </c>
      <c r="D111" s="14">
        <v>0.15286124000000001</v>
      </c>
      <c r="E111" s="14">
        <v>0.15238097</v>
      </c>
      <c r="F111" s="14">
        <v>0.13973721</v>
      </c>
      <c r="G111" s="14">
        <v>0.11927611</v>
      </c>
      <c r="H111" s="14">
        <v>0.11006306</v>
      </c>
      <c r="I111" s="14">
        <v>0.13799202999999999</v>
      </c>
      <c r="J111" s="14">
        <v>0.14925711999999999</v>
      </c>
      <c r="K111" s="14">
        <v>0.15319434000000001</v>
      </c>
      <c r="L111" s="14">
        <v>0.13305805000000001</v>
      </c>
      <c r="M111" s="14">
        <v>0.11780897</v>
      </c>
      <c r="N111" s="14">
        <v>0.13935697</v>
      </c>
      <c r="O111" s="14">
        <v>0.15030289999999999</v>
      </c>
      <c r="P111" s="14">
        <v>0.13985126000000001</v>
      </c>
      <c r="Q111" s="14">
        <v>0.12727788000000001</v>
      </c>
      <c r="R111" s="14">
        <v>0.14471355999999999</v>
      </c>
      <c r="S111" s="14">
        <v>0.13228625999999999</v>
      </c>
      <c r="T111" s="14">
        <v>0.11551694999999999</v>
      </c>
      <c r="U111" s="14">
        <v>9.9496409999999993E-2</v>
      </c>
      <c r="V111" s="14">
        <v>0.10176733</v>
      </c>
      <c r="W111" s="14">
        <v>9.7669839999999994E-2</v>
      </c>
    </row>
    <row r="112" spans="1:26" ht="15.75" customHeight="1" x14ac:dyDescent="0.25">
      <c r="A112" s="140" t="s">
        <v>170</v>
      </c>
      <c r="B112" s="13" t="s">
        <v>8</v>
      </c>
      <c r="C112" s="14">
        <v>4.7547770000000003E-2</v>
      </c>
      <c r="D112" s="14">
        <v>5.3554699999999997E-2</v>
      </c>
      <c r="E112" s="14">
        <v>6.214103E-2</v>
      </c>
      <c r="F112" s="14">
        <v>6.6773180000000001E-2</v>
      </c>
      <c r="G112" s="14">
        <v>7.4480660000000004E-2</v>
      </c>
      <c r="H112" s="14">
        <v>9.1521439999999996E-2</v>
      </c>
      <c r="I112" s="14">
        <v>0.11205941</v>
      </c>
      <c r="J112" s="14">
        <v>0.13853945000000001</v>
      </c>
      <c r="K112" s="14">
        <v>0.13510506</v>
      </c>
      <c r="L112" s="14">
        <v>0.15060217000000001</v>
      </c>
      <c r="M112" s="14">
        <v>0.16743975999999999</v>
      </c>
      <c r="N112" s="14">
        <v>0.18412867999999999</v>
      </c>
      <c r="O112" s="14">
        <v>0.24207650999999999</v>
      </c>
      <c r="P112" s="14">
        <v>0.27644987999999998</v>
      </c>
      <c r="Q112" s="14">
        <v>0.30964747999999997</v>
      </c>
      <c r="R112" s="14">
        <v>0.35706441</v>
      </c>
      <c r="S112" s="14">
        <v>0.43691300999999999</v>
      </c>
      <c r="T112" s="14">
        <v>0.51131873000000005</v>
      </c>
      <c r="U112" s="14">
        <v>0.58447477000000003</v>
      </c>
      <c r="V112" s="14">
        <v>0.62729643999999996</v>
      </c>
      <c r="W112" s="14">
        <v>0.65351033000000003</v>
      </c>
      <c r="X112" s="34" t="s">
        <v>171</v>
      </c>
      <c r="Y112" s="14">
        <v>0.13194015127346601</v>
      </c>
      <c r="Z112" s="44" t="s">
        <v>172</v>
      </c>
    </row>
    <row r="113" spans="1:26" ht="15.75" customHeight="1" x14ac:dyDescent="0.25">
      <c r="Y113" s="14">
        <f>-1+(W112/C112)^(1/(W99-C99))</f>
        <v>0.14000331752531125</v>
      </c>
      <c r="Z113" s="44" t="s">
        <v>173</v>
      </c>
    </row>
    <row r="114" spans="1:26" ht="15.75" customHeight="1" x14ac:dyDescent="0.25">
      <c r="A114" s="85" t="s">
        <v>174</v>
      </c>
      <c r="B114" s="11" t="s">
        <v>175</v>
      </c>
      <c r="C114" s="86">
        <v>2015</v>
      </c>
    </row>
    <row r="115" spans="1:26" ht="15.75" customHeight="1" x14ac:dyDescent="0.25">
      <c r="A115" s="87" t="s">
        <v>176</v>
      </c>
      <c r="B115" s="87"/>
      <c r="C115" s="88">
        <v>1995</v>
      </c>
      <c r="D115" s="88">
        <v>1996</v>
      </c>
      <c r="E115" s="88">
        <v>1997</v>
      </c>
      <c r="F115" s="88">
        <v>1998</v>
      </c>
      <c r="G115" s="88">
        <v>1999</v>
      </c>
      <c r="H115" s="88">
        <v>2000</v>
      </c>
      <c r="I115" s="88">
        <v>2001</v>
      </c>
      <c r="J115" s="88">
        <v>2002</v>
      </c>
      <c r="K115" s="88">
        <v>2003</v>
      </c>
      <c r="L115" s="88">
        <v>2004</v>
      </c>
      <c r="M115" s="88">
        <v>2005</v>
      </c>
      <c r="N115" s="88">
        <v>2006</v>
      </c>
      <c r="O115" s="88">
        <v>2007</v>
      </c>
      <c r="P115" s="88">
        <v>2008</v>
      </c>
      <c r="Q115" s="88">
        <v>2009</v>
      </c>
      <c r="R115" s="88">
        <v>2010</v>
      </c>
      <c r="S115" s="88">
        <v>2011</v>
      </c>
      <c r="T115" s="88">
        <v>2012</v>
      </c>
      <c r="U115" s="88">
        <v>2013</v>
      </c>
      <c r="V115" s="88">
        <v>2014</v>
      </c>
      <c r="W115" s="88">
        <v>2015</v>
      </c>
      <c r="X115" s="88">
        <v>2016</v>
      </c>
    </row>
    <row r="116" spans="1:26" ht="15.75" customHeight="1" x14ac:dyDescent="0.25">
      <c r="A116" s="92" t="s">
        <v>177</v>
      </c>
      <c r="B116" s="13" t="s">
        <v>8</v>
      </c>
      <c r="C116" s="14">
        <v>0.70500775115526304</v>
      </c>
      <c r="D116" s="14">
        <v>0.713402933462982</v>
      </c>
      <c r="E116" s="78">
        <v>0.74043362741036101</v>
      </c>
      <c r="F116" s="78">
        <v>0.74413026982700303</v>
      </c>
      <c r="G116" s="78">
        <v>0.71903068045584995</v>
      </c>
      <c r="H116" s="13">
        <v>0.73702805122811299</v>
      </c>
      <c r="I116" s="13">
        <v>0.74805290342259301</v>
      </c>
      <c r="J116" s="13">
        <v>0.76222398342838504</v>
      </c>
      <c r="K116" s="13">
        <v>0.76095391839664195</v>
      </c>
      <c r="L116" s="13">
        <v>0.80869068459388005</v>
      </c>
      <c r="M116" s="13">
        <v>0.81669502573937203</v>
      </c>
      <c r="N116" s="13">
        <v>0.84001752982309497</v>
      </c>
      <c r="O116" s="13">
        <v>0.84476197772424699</v>
      </c>
      <c r="P116" s="13">
        <v>0.851321281233406</v>
      </c>
      <c r="Q116" s="13">
        <v>0.85667662806023204</v>
      </c>
      <c r="R116" s="13">
        <v>0.861943321970572</v>
      </c>
      <c r="S116" s="13">
        <v>0.88537187827679598</v>
      </c>
      <c r="T116" s="13">
        <v>0.87727673300343501</v>
      </c>
      <c r="U116" s="13">
        <v>0.89891235766759503</v>
      </c>
      <c r="V116" s="141">
        <v>0.91506197796990796</v>
      </c>
      <c r="W116" s="13">
        <v>0.921730392645142</v>
      </c>
      <c r="X116" s="14"/>
    </row>
    <row r="117" spans="1:26" ht="15.75" customHeight="1" x14ac:dyDescent="0.25">
      <c r="A117" s="92" t="s">
        <v>178</v>
      </c>
      <c r="B117" s="13" t="s">
        <v>8</v>
      </c>
      <c r="C117" s="13">
        <v>0.29983922312844202</v>
      </c>
      <c r="D117" s="13">
        <v>0.30413853980316702</v>
      </c>
      <c r="E117" s="78">
        <v>0.319612409560112</v>
      </c>
      <c r="F117" s="78">
        <v>0.358390948635958</v>
      </c>
      <c r="G117" s="78">
        <v>0.35581972304854897</v>
      </c>
      <c r="H117" s="13">
        <v>0.398982835932019</v>
      </c>
      <c r="I117" s="13">
        <v>0.44742439261121503</v>
      </c>
      <c r="J117" s="13">
        <v>0.47151425326709501</v>
      </c>
      <c r="K117" s="13">
        <v>0.46839583334745899</v>
      </c>
      <c r="L117" s="13">
        <v>0.50498435121088003</v>
      </c>
      <c r="M117" s="13">
        <v>0.51602078583014799</v>
      </c>
      <c r="N117" s="13">
        <v>0.51467195748997296</v>
      </c>
      <c r="O117" s="13">
        <v>0.51725531060700702</v>
      </c>
      <c r="P117" s="13">
        <v>0.52143299858829995</v>
      </c>
      <c r="Q117" s="13">
        <v>0.50392451762837298</v>
      </c>
      <c r="R117" s="13">
        <v>0.52500973935916595</v>
      </c>
      <c r="S117" s="13">
        <v>0.54035442520810995</v>
      </c>
      <c r="T117" s="13">
        <v>0.53348891006272303</v>
      </c>
      <c r="U117" s="13">
        <v>0.51941166294856</v>
      </c>
      <c r="V117" s="141">
        <v>0.51984787761877904</v>
      </c>
      <c r="W117" s="13">
        <v>0.52112439405452504</v>
      </c>
      <c r="X117" s="14"/>
    </row>
    <row r="118" spans="1:26" ht="15.75" customHeight="1" x14ac:dyDescent="0.25">
      <c r="A118" s="92" t="s">
        <v>179</v>
      </c>
      <c r="B118" s="13" t="s">
        <v>8</v>
      </c>
      <c r="C118" s="13">
        <v>0.162646054467004</v>
      </c>
      <c r="D118" s="13">
        <v>0.15927519249295899</v>
      </c>
      <c r="E118" s="78">
        <v>0.13777015451927599</v>
      </c>
      <c r="F118" s="78">
        <v>0.13288465416414599</v>
      </c>
      <c r="G118" s="78">
        <v>0.124487709266569</v>
      </c>
      <c r="H118" s="13">
        <v>0.10978264373621301</v>
      </c>
      <c r="I118" s="13">
        <v>0.107841707114185</v>
      </c>
      <c r="J118" s="13">
        <v>9.83640635177193E-2</v>
      </c>
      <c r="K118" s="13">
        <v>7.6493047103677506E-2</v>
      </c>
      <c r="L118" s="13">
        <v>9.6843374464373799E-2</v>
      </c>
      <c r="M118" s="13">
        <v>9.2690470764442298E-2</v>
      </c>
      <c r="N118" s="13">
        <v>9.8622442914562999E-2</v>
      </c>
      <c r="O118" s="13">
        <v>9.0133652311183504E-2</v>
      </c>
      <c r="P118" s="13">
        <v>8.2970056687977994E-2</v>
      </c>
      <c r="Q118" s="13">
        <v>9.8483498939999498E-2</v>
      </c>
      <c r="R118" s="13">
        <v>8.9301041254367095E-2</v>
      </c>
      <c r="S118" s="13">
        <v>8.0907001685307206E-2</v>
      </c>
      <c r="T118" s="13">
        <v>6.9483255726943902E-2</v>
      </c>
      <c r="U118" s="13">
        <v>6.5386260003879093E-2</v>
      </c>
      <c r="V118" s="141">
        <v>6.3637186260273995E-2</v>
      </c>
      <c r="W118" s="13">
        <v>6.0402701394583702E-2</v>
      </c>
      <c r="X118" s="14"/>
    </row>
    <row r="119" spans="1:26" ht="15.75" customHeight="1" x14ac:dyDescent="0.25">
      <c r="A119" s="89" t="s">
        <v>180</v>
      </c>
      <c r="E119" s="90"/>
      <c r="F119" s="90"/>
      <c r="G119" s="90"/>
    </row>
    <row r="120" spans="1:26" ht="15.75" customHeight="1" x14ac:dyDescent="0.25">
      <c r="A120" s="92" t="s">
        <v>181</v>
      </c>
      <c r="B120" s="13" t="s">
        <v>82</v>
      </c>
      <c r="C120" s="13"/>
      <c r="D120" s="13"/>
      <c r="E120" s="78"/>
      <c r="F120" s="78"/>
      <c r="G120" s="78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41"/>
      <c r="W120" s="13"/>
      <c r="X120" s="14"/>
    </row>
    <row r="121" spans="1:26" ht="15.75" customHeight="1" x14ac:dyDescent="0.25">
      <c r="A121" s="92" t="s">
        <v>182</v>
      </c>
      <c r="B121" s="13" t="s">
        <v>82</v>
      </c>
      <c r="C121" s="13"/>
      <c r="D121" s="13"/>
      <c r="E121" s="78"/>
      <c r="F121" s="78"/>
      <c r="G121" s="78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41"/>
      <c r="W121" s="13"/>
      <c r="X121" s="14"/>
    </row>
    <row r="122" spans="1:26" ht="15.75" customHeight="1" x14ac:dyDescent="0.25">
      <c r="A122" s="92" t="s">
        <v>183</v>
      </c>
      <c r="B122" s="13" t="s">
        <v>82</v>
      </c>
      <c r="C122" s="13"/>
      <c r="D122" s="13"/>
      <c r="E122" s="78"/>
      <c r="F122" s="78"/>
      <c r="G122" s="78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41"/>
      <c r="W122" s="13"/>
      <c r="X122" s="14"/>
    </row>
    <row r="123" spans="1:26" ht="15.75" customHeight="1" x14ac:dyDescent="0.25">
      <c r="A123" s="92" t="s">
        <v>184</v>
      </c>
      <c r="B123" s="13" t="s">
        <v>82</v>
      </c>
      <c r="C123" s="13"/>
      <c r="D123" s="13"/>
      <c r="E123" s="78"/>
      <c r="F123" s="78"/>
      <c r="G123" s="78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4"/>
    </row>
    <row r="124" spans="1:26" ht="15.75" customHeight="1" x14ac:dyDescent="0.25">
      <c r="A124" s="89" t="s">
        <v>185</v>
      </c>
      <c r="E124" s="90"/>
      <c r="F124" s="90"/>
      <c r="G124" s="90"/>
    </row>
    <row r="125" spans="1:26" ht="15.75" customHeight="1" x14ac:dyDescent="0.25">
      <c r="A125" s="92" t="s">
        <v>186</v>
      </c>
      <c r="B125" s="13" t="s">
        <v>8</v>
      </c>
      <c r="C125" s="13">
        <v>0.1</v>
      </c>
      <c r="D125" s="13">
        <v>0.09</v>
      </c>
      <c r="E125" s="13">
        <v>0.08</v>
      </c>
      <c r="F125" s="13">
        <v>7.0000000000000007E-2</v>
      </c>
      <c r="G125" s="13">
        <v>0.06</v>
      </c>
      <c r="H125" s="13">
        <v>0.05</v>
      </c>
      <c r="I125" s="13">
        <v>3.9999999999999897E-2</v>
      </c>
      <c r="J125" s="13">
        <v>2.9999999999999898E-2</v>
      </c>
      <c r="K125" s="13">
        <v>1.99999999999999E-2</v>
      </c>
      <c r="L125" s="13">
        <v>9.99999999999991E-3</v>
      </c>
      <c r="M125" s="13">
        <v>0.01</v>
      </c>
      <c r="N125" s="13">
        <v>1.0000000000000101E-2</v>
      </c>
      <c r="O125" s="13">
        <v>1.00000000000002E-2</v>
      </c>
      <c r="P125" s="13">
        <v>1.00000000000003E-2</v>
      </c>
      <c r="Q125" s="13">
        <v>1.0000000000000399E-2</v>
      </c>
      <c r="R125" s="13">
        <v>1.00000000000005E-2</v>
      </c>
      <c r="S125" s="13">
        <v>1.00000000000005E-2</v>
      </c>
      <c r="T125" s="13">
        <v>1.00000000000006E-2</v>
      </c>
      <c r="U125" s="13">
        <v>1.0000000000000699E-2</v>
      </c>
      <c r="V125" s="13">
        <v>1.00000000000008E-2</v>
      </c>
      <c r="W125" s="13">
        <v>1.0000000000000901E-2</v>
      </c>
      <c r="X125" s="13">
        <v>1.0000000000000999E-2</v>
      </c>
    </row>
    <row r="126" spans="1:26" ht="15.75" customHeight="1" x14ac:dyDescent="0.25">
      <c r="A126" s="92" t="s">
        <v>187</v>
      </c>
      <c r="B126" s="13" t="s">
        <v>8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</row>
    <row r="127" spans="1:26" ht="15.75" customHeight="1" x14ac:dyDescent="0.25">
      <c r="A127" s="59" t="s">
        <v>188</v>
      </c>
      <c r="B127" s="13" t="s">
        <v>8</v>
      </c>
      <c r="C127" s="13">
        <v>1</v>
      </c>
      <c r="D127" s="13">
        <v>1</v>
      </c>
      <c r="E127" s="13">
        <v>1</v>
      </c>
      <c r="F127" s="13">
        <v>1</v>
      </c>
      <c r="G127" s="13">
        <v>1</v>
      </c>
      <c r="H127" s="13">
        <v>1</v>
      </c>
      <c r="I127" s="13">
        <v>1</v>
      </c>
      <c r="J127" s="13">
        <v>1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1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>
        <v>1</v>
      </c>
      <c r="W127" s="13">
        <v>1</v>
      </c>
      <c r="X127" s="13">
        <v>1</v>
      </c>
    </row>
    <row r="128" spans="1:26" ht="15.75" customHeight="1" x14ac:dyDescent="0.25">
      <c r="A128" s="59" t="s">
        <v>189</v>
      </c>
      <c r="B128" s="13" t="s">
        <v>8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</row>
    <row r="129" spans="1:25" ht="15.75" customHeight="1" x14ac:dyDescent="0.25">
      <c r="A129" s="19" t="s">
        <v>190</v>
      </c>
      <c r="E129" s="90"/>
      <c r="F129" s="90"/>
      <c r="G129" s="90"/>
    </row>
    <row r="130" spans="1:25" ht="15.75" customHeight="1" x14ac:dyDescent="0.25">
      <c r="A130" s="59" t="s">
        <v>191</v>
      </c>
      <c r="B130" s="13" t="s">
        <v>192</v>
      </c>
      <c r="C130" s="13">
        <f t="shared" ref="C130:W130" si="1">D130*0.9</f>
        <v>14.118332167639048</v>
      </c>
      <c r="D130" s="13">
        <f t="shared" si="1"/>
        <v>15.687035741821164</v>
      </c>
      <c r="E130" s="13">
        <f t="shared" si="1"/>
        <v>17.430039713134626</v>
      </c>
      <c r="F130" s="13">
        <f t="shared" si="1"/>
        <v>19.366710792371805</v>
      </c>
      <c r="G130" s="13">
        <f t="shared" si="1"/>
        <v>21.518567547079783</v>
      </c>
      <c r="H130" s="13">
        <f t="shared" si="1"/>
        <v>23.909519496755316</v>
      </c>
      <c r="I130" s="13">
        <f t="shared" si="1"/>
        <v>26.566132774172573</v>
      </c>
      <c r="J130" s="13">
        <f t="shared" si="1"/>
        <v>29.51792530463619</v>
      </c>
      <c r="K130" s="13">
        <f t="shared" si="1"/>
        <v>32.797694782929099</v>
      </c>
      <c r="L130" s="13">
        <f t="shared" si="1"/>
        <v>36.441883092143442</v>
      </c>
      <c r="M130" s="13">
        <f t="shared" si="1"/>
        <v>40.490981213492709</v>
      </c>
      <c r="N130" s="13">
        <f t="shared" si="1"/>
        <v>44.989979126103009</v>
      </c>
      <c r="O130" s="13">
        <f t="shared" si="1"/>
        <v>49.988865695670007</v>
      </c>
      <c r="P130" s="13">
        <f t="shared" si="1"/>
        <v>55.543184106300011</v>
      </c>
      <c r="Q130" s="13">
        <f t="shared" si="1"/>
        <v>61.714649007000013</v>
      </c>
      <c r="R130" s="13">
        <f t="shared" si="1"/>
        <v>68.571832230000012</v>
      </c>
      <c r="S130" s="13">
        <f t="shared" si="1"/>
        <v>76.190924700000011</v>
      </c>
      <c r="T130" s="13">
        <f t="shared" si="1"/>
        <v>84.656583000000012</v>
      </c>
      <c r="U130" s="13">
        <f t="shared" si="1"/>
        <v>94.062870000000004</v>
      </c>
      <c r="V130" s="13">
        <f t="shared" si="1"/>
        <v>104.51430000000001</v>
      </c>
      <c r="W130" s="13">
        <f t="shared" si="1"/>
        <v>116.12700000000001</v>
      </c>
      <c r="X130" s="13">
        <f>(175000000/1000*0.51+51000000/1000*0.78)/1000</f>
        <v>129.03</v>
      </c>
    </row>
    <row r="131" spans="1:25" ht="15.75" customHeight="1" x14ac:dyDescent="0.25">
      <c r="A131" s="93" t="s">
        <v>193</v>
      </c>
      <c r="B131" s="94"/>
      <c r="C131" s="11"/>
      <c r="D131" s="11"/>
      <c r="E131" s="90"/>
      <c r="F131" s="90"/>
      <c r="G131" s="9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5" ht="15.75" customHeight="1" x14ac:dyDescent="0.25">
      <c r="A132" s="92" t="s">
        <v>194</v>
      </c>
      <c r="B132" s="13" t="s">
        <v>195</v>
      </c>
      <c r="C132" s="4"/>
      <c r="D132" s="4"/>
      <c r="E132" s="80"/>
      <c r="F132" s="80"/>
      <c r="G132" s="80"/>
      <c r="H132" s="1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4"/>
      <c r="X132" s="14"/>
    </row>
    <row r="133" spans="1:25" ht="15.75" customHeight="1" x14ac:dyDescent="0.25">
      <c r="A133" s="92" t="s">
        <v>196</v>
      </c>
      <c r="B133" s="13" t="s">
        <v>195</v>
      </c>
      <c r="C133" s="13"/>
      <c r="D133" s="13"/>
      <c r="E133" s="78"/>
      <c r="F133" s="78"/>
      <c r="G133" s="78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4"/>
      <c r="X133" s="14"/>
    </row>
    <row r="134" spans="1:25" ht="15.75" customHeight="1" x14ac:dyDescent="0.25">
      <c r="A134" s="143" t="s">
        <v>197</v>
      </c>
      <c r="B134" s="4" t="s">
        <v>195</v>
      </c>
      <c r="C134" s="4"/>
      <c r="D134" s="4"/>
      <c r="E134" s="80"/>
      <c r="F134" s="80"/>
      <c r="G134" s="8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3"/>
      <c r="X134" s="14"/>
    </row>
    <row r="135" spans="1:25" ht="15.75" customHeight="1" x14ac:dyDescent="0.25">
      <c r="A135" s="93" t="s">
        <v>198</v>
      </c>
      <c r="B135" s="94"/>
      <c r="C135" s="11"/>
      <c r="D135" s="11"/>
      <c r="E135" s="90"/>
      <c r="F135" s="90"/>
      <c r="G135" s="9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5" ht="15.75" customHeight="1" x14ac:dyDescent="0.25">
      <c r="A136" s="92" t="s">
        <v>194</v>
      </c>
      <c r="B136" s="13" t="s">
        <v>195</v>
      </c>
      <c r="C136" s="13"/>
      <c r="D136" s="13"/>
      <c r="E136" s="78"/>
      <c r="F136" s="78"/>
      <c r="G136" s="78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5" ht="15.75" customHeight="1" x14ac:dyDescent="0.25">
      <c r="A137" s="92" t="s">
        <v>196</v>
      </c>
      <c r="B137" s="13" t="s">
        <v>195</v>
      </c>
      <c r="C137" s="13"/>
      <c r="D137" s="13"/>
      <c r="E137" s="78"/>
      <c r="F137" s="78"/>
      <c r="G137" s="78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4"/>
    </row>
    <row r="138" spans="1:25" ht="15.75" customHeight="1" x14ac:dyDescent="0.25">
      <c r="A138" s="143" t="s">
        <v>197</v>
      </c>
      <c r="B138" s="4" t="s">
        <v>195</v>
      </c>
      <c r="C138" s="4"/>
      <c r="D138" s="4"/>
      <c r="E138" s="80"/>
      <c r="F138" s="80"/>
      <c r="G138" s="8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14"/>
    </row>
    <row r="139" spans="1:25" ht="15.75" customHeight="1" x14ac:dyDescent="0.25">
      <c r="A139" s="93" t="s">
        <v>199</v>
      </c>
      <c r="E139" s="90"/>
      <c r="F139" s="90"/>
      <c r="G139" s="90"/>
    </row>
    <row r="140" spans="1:25" ht="15.75" customHeight="1" x14ac:dyDescent="0.25">
      <c r="A140" s="92" t="s">
        <v>200</v>
      </c>
      <c r="B140" s="13" t="s">
        <v>201</v>
      </c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144">
        <v>5.1929999999999996</v>
      </c>
      <c r="O140" s="144">
        <v>5.1929999999999996</v>
      </c>
      <c r="P140" s="144">
        <v>5.1929999999999996</v>
      </c>
      <c r="Q140" s="144">
        <v>5.1929999999999996</v>
      </c>
      <c r="R140" s="144">
        <v>5.1929999999999996</v>
      </c>
      <c r="S140" s="144">
        <v>5.1929999999999996</v>
      </c>
      <c r="T140" s="144">
        <v>5.1929999999999996</v>
      </c>
      <c r="U140" s="78"/>
      <c r="V140" s="83"/>
      <c r="W140" s="78"/>
      <c r="X140" s="78"/>
    </row>
    <row r="141" spans="1:25" ht="15.75" customHeight="1" x14ac:dyDescent="0.25">
      <c r="A141" s="92" t="s">
        <v>292</v>
      </c>
      <c r="B141" s="14" t="s">
        <v>8</v>
      </c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"/>
      <c r="O141" s="14"/>
      <c r="P141" s="14"/>
      <c r="Q141" s="14"/>
      <c r="R141" s="145"/>
      <c r="S141" s="14"/>
      <c r="T141" s="14"/>
      <c r="U141" s="14"/>
      <c r="V141" s="14"/>
      <c r="W141" s="145"/>
      <c r="X141" s="14"/>
    </row>
    <row r="142" spans="1:25" ht="15.75" customHeight="1" x14ac:dyDescent="0.25">
      <c r="A142" s="102" t="s">
        <v>293</v>
      </c>
      <c r="B142" s="13" t="s">
        <v>80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5" ht="15.75" customHeight="1" x14ac:dyDescent="0.25">
      <c r="A143" s="93" t="s">
        <v>202</v>
      </c>
    </row>
    <row r="144" spans="1:25" ht="15.75" customHeight="1" x14ac:dyDescent="0.25">
      <c r="A144" s="140" t="s">
        <v>203</v>
      </c>
      <c r="B144" s="4" t="s">
        <v>204</v>
      </c>
      <c r="C144" s="80"/>
      <c r="D144" s="80"/>
      <c r="E144" s="80"/>
      <c r="F144" s="80"/>
      <c r="G144" s="80"/>
      <c r="H144" s="80">
        <v>3.1936054333333401E-2</v>
      </c>
      <c r="I144" s="80">
        <v>3.2725662333333301E-2</v>
      </c>
      <c r="J144" s="80">
        <v>3.3515270333333298E-2</v>
      </c>
      <c r="K144" s="80">
        <v>3.4304878333333302E-2</v>
      </c>
      <c r="L144" s="80">
        <v>3.50944863333333E-2</v>
      </c>
      <c r="M144" s="80">
        <v>3.5884094333333297E-2</v>
      </c>
      <c r="N144" s="146">
        <v>3.6685549000000005E-2</v>
      </c>
      <c r="O144" s="146">
        <v>3.7439617000000001E-2</v>
      </c>
      <c r="P144" s="146">
        <v>3.8264764999999999E-2</v>
      </c>
      <c r="Q144" s="146">
        <v>3.8414050000000005E-2</v>
      </c>
      <c r="R144" s="146">
        <v>3.8426459999999996E-2</v>
      </c>
      <c r="S144" s="146">
        <v>3.8183752999999994E-2</v>
      </c>
      <c r="T144" s="146">
        <v>3.8384028000000001E-2</v>
      </c>
      <c r="U144" s="146">
        <v>3.8584303E-2</v>
      </c>
      <c r="V144" s="146">
        <v>4.0054685E-2</v>
      </c>
      <c r="W144" s="147">
        <v>4.0027834999999998E-2</v>
      </c>
      <c r="X144" s="146">
        <v>4.0375318E-2</v>
      </c>
      <c r="Y144" s="148">
        <v>4.0437533000000005E-2</v>
      </c>
    </row>
    <row r="145" spans="1:25" ht="15.75" customHeight="1" x14ac:dyDescent="0.25">
      <c r="A145" s="149" t="s">
        <v>13</v>
      </c>
      <c r="B145" s="4" t="s">
        <v>204</v>
      </c>
      <c r="C145" s="41"/>
      <c r="D145" s="41"/>
      <c r="E145" s="41"/>
      <c r="F145" s="41"/>
      <c r="G145" s="41"/>
      <c r="H145" s="41"/>
      <c r="I145" s="41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3"/>
      <c r="W145" s="34"/>
      <c r="X145" s="14"/>
    </row>
    <row r="146" spans="1:25" ht="15.75" customHeight="1" x14ac:dyDescent="0.25">
      <c r="A146" s="149" t="s">
        <v>205</v>
      </c>
      <c r="B146" s="13" t="s">
        <v>204</v>
      </c>
      <c r="C146" s="41"/>
      <c r="D146" s="41"/>
      <c r="E146" s="41"/>
      <c r="F146" s="41"/>
      <c r="G146" s="41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34"/>
      <c r="X146" s="14"/>
    </row>
    <row r="147" spans="1:25" ht="15.75" customHeight="1" x14ac:dyDescent="0.25">
      <c r="A147" s="150" t="s">
        <v>15</v>
      </c>
      <c r="B147" s="13" t="s">
        <v>204</v>
      </c>
      <c r="C147" s="41"/>
      <c r="D147" s="41"/>
      <c r="E147" s="41"/>
      <c r="F147" s="41"/>
      <c r="G147" s="41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34"/>
      <c r="X147" s="14"/>
    </row>
    <row r="148" spans="1:25" ht="15.75" customHeight="1" x14ac:dyDescent="0.25">
      <c r="A148" s="150" t="s">
        <v>16</v>
      </c>
      <c r="B148" s="13" t="s">
        <v>204</v>
      </c>
      <c r="C148" s="41"/>
      <c r="D148" s="41"/>
      <c r="E148" s="41"/>
      <c r="F148" s="41"/>
      <c r="G148" s="41"/>
      <c r="H148" s="14">
        <v>3.2174999999999999E-4</v>
      </c>
      <c r="I148" s="14">
        <v>3.2174999999999999E-4</v>
      </c>
      <c r="J148" s="14">
        <v>3.2174999999999999E-4</v>
      </c>
      <c r="K148" s="14">
        <v>3.2174999999999999E-4</v>
      </c>
      <c r="L148" s="14">
        <v>3.2174999999999999E-4</v>
      </c>
      <c r="M148" s="14">
        <v>3.2174999999999999E-4</v>
      </c>
      <c r="N148" s="151">
        <v>3.2174999999999999E-4</v>
      </c>
      <c r="O148" s="151">
        <v>3.2174999999999999E-4</v>
      </c>
      <c r="P148" s="151">
        <v>4.1999999999999996E-4</v>
      </c>
      <c r="Q148" s="151">
        <v>6.577000000000001E-4</v>
      </c>
      <c r="R148" s="151">
        <v>7.8629999999999998E-4</v>
      </c>
      <c r="S148" s="151">
        <v>1.1199000000000001E-3</v>
      </c>
      <c r="T148" s="151">
        <v>1.5457439999999999E-3</v>
      </c>
      <c r="U148" s="151">
        <v>1.9715879999999998E-3</v>
      </c>
      <c r="V148" s="151">
        <v>2.7661379999999996E-3</v>
      </c>
      <c r="W148" s="152">
        <v>3.156978E-3</v>
      </c>
      <c r="X148" s="151">
        <v>3.407673E-3</v>
      </c>
      <c r="Y148" s="148">
        <v>3.4322730000000004E-3</v>
      </c>
    </row>
    <row r="149" spans="1:25" ht="15.75" customHeight="1" x14ac:dyDescent="0.25">
      <c r="A149" s="150" t="s">
        <v>206</v>
      </c>
      <c r="B149" s="13" t="s">
        <v>204</v>
      </c>
      <c r="C149" s="41"/>
      <c r="D149" s="41"/>
      <c r="E149" s="41"/>
      <c r="F149" s="41"/>
      <c r="G149" s="41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34"/>
      <c r="X149" s="14"/>
    </row>
    <row r="150" spans="1:25" ht="15.75" customHeight="1" x14ac:dyDescent="0.25">
      <c r="A150" s="150" t="s">
        <v>18</v>
      </c>
      <c r="B150" s="13" t="s">
        <v>204</v>
      </c>
      <c r="C150" s="41"/>
      <c r="D150" s="41"/>
      <c r="E150" s="41"/>
      <c r="F150" s="41"/>
      <c r="G150" s="41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34"/>
      <c r="X150" s="14"/>
    </row>
    <row r="151" spans="1:25" ht="15.75" customHeight="1" x14ac:dyDescent="0.25">
      <c r="A151" s="150" t="s">
        <v>207</v>
      </c>
      <c r="B151" s="13" t="s">
        <v>204</v>
      </c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34"/>
      <c r="X151" s="14"/>
    </row>
    <row r="152" spans="1:25" ht="15.75" customHeight="1" x14ac:dyDescent="0.25">
      <c r="A152" s="153" t="s">
        <v>208</v>
      </c>
      <c r="B152" s="4" t="s">
        <v>204</v>
      </c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154"/>
      <c r="X152" s="14"/>
    </row>
    <row r="153" spans="1:25" ht="15.75" customHeight="1" x14ac:dyDescent="0.25">
      <c r="A153" s="93" t="s">
        <v>209</v>
      </c>
    </row>
    <row r="154" spans="1:25" ht="15.75" customHeight="1" x14ac:dyDescent="0.25">
      <c r="A154" s="140" t="s">
        <v>210</v>
      </c>
      <c r="B154" s="4" t="s">
        <v>80</v>
      </c>
      <c r="C154" s="155">
        <v>0</v>
      </c>
      <c r="D154" s="155">
        <v>0</v>
      </c>
      <c r="E154" s="155">
        <v>0</v>
      </c>
      <c r="F154" s="155">
        <v>0</v>
      </c>
      <c r="G154" s="155">
        <v>0</v>
      </c>
      <c r="H154" s="155">
        <v>0</v>
      </c>
      <c r="I154" s="155">
        <v>0</v>
      </c>
      <c r="J154" s="155">
        <v>0</v>
      </c>
      <c r="K154" s="155">
        <v>0</v>
      </c>
      <c r="L154" s="155">
        <v>0</v>
      </c>
      <c r="M154" s="155">
        <v>0</v>
      </c>
      <c r="N154" s="155">
        <v>0</v>
      </c>
      <c r="O154" s="155">
        <v>0</v>
      </c>
      <c r="P154" s="155">
        <v>0</v>
      </c>
      <c r="Q154" s="155">
        <v>0</v>
      </c>
      <c r="R154" s="155">
        <v>0</v>
      </c>
      <c r="S154" s="155">
        <v>0</v>
      </c>
      <c r="T154" s="155">
        <v>0</v>
      </c>
      <c r="U154" s="155">
        <v>0</v>
      </c>
      <c r="V154" s="155">
        <v>0</v>
      </c>
      <c r="W154" s="155">
        <v>0</v>
      </c>
      <c r="X154" s="155">
        <v>0</v>
      </c>
    </row>
    <row r="155" spans="1:25" ht="15.75" customHeight="1" x14ac:dyDescent="0.25">
      <c r="A155" s="140" t="s">
        <v>212</v>
      </c>
      <c r="B155" s="4" t="s">
        <v>80</v>
      </c>
      <c r="C155" s="155">
        <v>0</v>
      </c>
      <c r="D155" s="155">
        <v>0</v>
      </c>
      <c r="E155" s="155">
        <v>0</v>
      </c>
      <c r="F155" s="155">
        <v>0</v>
      </c>
      <c r="G155" s="155">
        <v>0</v>
      </c>
      <c r="H155" s="155">
        <v>0</v>
      </c>
      <c r="I155" s="155">
        <v>0</v>
      </c>
      <c r="J155" s="155">
        <v>0</v>
      </c>
      <c r="K155" s="155">
        <v>0</v>
      </c>
      <c r="L155" s="155">
        <v>0</v>
      </c>
      <c r="M155" s="155">
        <v>0</v>
      </c>
      <c r="N155" s="155">
        <v>0</v>
      </c>
      <c r="O155" s="155">
        <v>0</v>
      </c>
      <c r="P155" s="155">
        <v>0</v>
      </c>
      <c r="Q155" s="155">
        <v>0</v>
      </c>
      <c r="R155" s="155">
        <v>0</v>
      </c>
      <c r="S155" s="155">
        <v>0</v>
      </c>
      <c r="T155" s="155">
        <v>0</v>
      </c>
      <c r="U155" s="155">
        <v>0</v>
      </c>
      <c r="V155" s="155">
        <v>0</v>
      </c>
      <c r="W155" s="155">
        <v>0</v>
      </c>
      <c r="X155" s="155">
        <v>0</v>
      </c>
    </row>
    <row r="156" spans="1:25" ht="15.75" customHeight="1" x14ac:dyDescent="0.25">
      <c r="A156" s="140" t="s">
        <v>213</v>
      </c>
      <c r="B156" s="4" t="s">
        <v>80</v>
      </c>
      <c r="C156" s="155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4"/>
    </row>
    <row r="157" spans="1:25" ht="15.75" customHeight="1" x14ac:dyDescent="0.25">
      <c r="A157" s="140" t="s">
        <v>214</v>
      </c>
      <c r="B157" s="4" t="s">
        <v>80</v>
      </c>
      <c r="C157" s="155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4"/>
    </row>
    <row r="158" spans="1:25" ht="15.75" customHeight="1" x14ac:dyDescent="0.25">
      <c r="A158" s="140" t="s">
        <v>215</v>
      </c>
      <c r="B158" s="4" t="s">
        <v>80</v>
      </c>
      <c r="C158" s="155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4"/>
    </row>
    <row r="159" spans="1:25" ht="15.75" customHeight="1" x14ac:dyDescent="0.25">
      <c r="A159" s="93" t="s">
        <v>216</v>
      </c>
    </row>
    <row r="160" spans="1:25" ht="15.75" customHeight="1" x14ac:dyDescent="0.25">
      <c r="A160" s="140" t="s">
        <v>217</v>
      </c>
      <c r="B160" s="4" t="s">
        <v>8</v>
      </c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4"/>
    </row>
    <row r="161" spans="1:29" ht="15.75" customHeight="1" x14ac:dyDescent="0.25">
      <c r="A161" s="140" t="s">
        <v>218</v>
      </c>
      <c r="B161" s="4" t="s">
        <v>8</v>
      </c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4"/>
    </row>
    <row r="162" spans="1:29" ht="15.75" customHeight="1" x14ac:dyDescent="0.25">
      <c r="A162" s="140" t="s">
        <v>219</v>
      </c>
      <c r="B162" s="4" t="s">
        <v>8</v>
      </c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4"/>
    </row>
    <row r="163" spans="1:29" ht="15.75" customHeight="1" x14ac:dyDescent="0.25">
      <c r="A163" s="93" t="s">
        <v>220</v>
      </c>
    </row>
    <row r="164" spans="1:29" ht="15.75" customHeight="1" x14ac:dyDescent="0.25">
      <c r="A164" s="140" t="s">
        <v>221</v>
      </c>
      <c r="B164" s="4" t="s">
        <v>8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34"/>
      <c r="W164" s="14"/>
      <c r="X164" s="14"/>
    </row>
    <row r="165" spans="1:29" ht="15.75" customHeight="1" x14ac:dyDescent="0.25">
      <c r="A165" s="140" t="s">
        <v>222</v>
      </c>
      <c r="B165" s="4" t="s">
        <v>8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34"/>
      <c r="W165" s="14"/>
      <c r="X165" s="14"/>
    </row>
    <row r="166" spans="1:29" ht="15.75" customHeight="1" x14ac:dyDescent="0.25">
      <c r="A166" s="140" t="s">
        <v>223</v>
      </c>
      <c r="B166" s="4" t="s">
        <v>8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34"/>
      <c r="W166" s="14"/>
      <c r="X166" s="14"/>
    </row>
    <row r="167" spans="1:29" ht="15.75" customHeight="1" x14ac:dyDescent="0.25"/>
    <row r="168" spans="1:29" ht="15.75" customHeight="1" x14ac:dyDescent="0.25">
      <c r="A168" s="140" t="s">
        <v>224</v>
      </c>
      <c r="B168" s="4" t="s">
        <v>80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Z168" s="140" t="s">
        <v>225</v>
      </c>
      <c r="AA168" s="14" t="s">
        <v>8</v>
      </c>
      <c r="AB168" s="14">
        <v>4.4363405384274399E-2</v>
      </c>
      <c r="AC168" s="44" t="s">
        <v>294</v>
      </c>
    </row>
    <row r="169" spans="1:29" ht="15.75" customHeight="1" x14ac:dyDescent="0.25"/>
    <row r="170" spans="1:29" ht="15.75" customHeight="1" x14ac:dyDescent="0.25">
      <c r="A170" s="140" t="s">
        <v>226</v>
      </c>
      <c r="B170" s="14" t="s">
        <v>80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9" ht="15.75" customHeight="1" x14ac:dyDescent="0.25">
      <c r="A171" s="158" t="s">
        <v>295</v>
      </c>
      <c r="B171" s="56"/>
    </row>
    <row r="172" spans="1:29" ht="15.75" customHeight="1" x14ac:dyDescent="0.25">
      <c r="A172" s="59" t="s">
        <v>296</v>
      </c>
      <c r="B172" s="13" t="s">
        <v>80</v>
      </c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</row>
    <row r="173" spans="1:29" ht="15.75" customHeight="1" x14ac:dyDescent="0.25">
      <c r="A173" s="59" t="s">
        <v>297</v>
      </c>
      <c r="B173" s="13" t="s">
        <v>80</v>
      </c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</row>
    <row r="174" spans="1:29" ht="15.75" customHeight="1" x14ac:dyDescent="0.25">
      <c r="A174" s="59" t="s">
        <v>298</v>
      </c>
      <c r="B174" s="13" t="s">
        <v>80</v>
      </c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</row>
    <row r="175" spans="1:29" ht="15.75" customHeight="1" x14ac:dyDescent="0.25">
      <c r="A175" s="59" t="s">
        <v>299</v>
      </c>
      <c r="B175" s="13" t="s">
        <v>80</v>
      </c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</row>
    <row r="176" spans="1:29" ht="15.75" customHeight="1" x14ac:dyDescent="0.25">
      <c r="A176" s="73" t="s">
        <v>300</v>
      </c>
      <c r="B176" s="4" t="s">
        <v>80</v>
      </c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Z176" s="161"/>
    </row>
    <row r="177" spans="1:34" ht="15.75" customHeight="1" x14ac:dyDescent="0.25">
      <c r="A177" s="59" t="s">
        <v>301</v>
      </c>
      <c r="B177" s="13" t="s">
        <v>302</v>
      </c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91"/>
    </row>
    <row r="178" spans="1:34" ht="15.75" customHeight="1" x14ac:dyDescent="0.25"/>
    <row r="179" spans="1:34" ht="15.75" customHeight="1" x14ac:dyDescent="0.25"/>
    <row r="180" spans="1:34" ht="15.75" customHeight="1" x14ac:dyDescent="0.25">
      <c r="A180" s="103" t="s">
        <v>227</v>
      </c>
      <c r="B180" s="104" t="s">
        <v>228</v>
      </c>
      <c r="C180" s="105" t="s">
        <v>229</v>
      </c>
      <c r="D180" s="105" t="s">
        <v>230</v>
      </c>
      <c r="E180" s="105" t="s">
        <v>231</v>
      </c>
      <c r="F180" s="105" t="s">
        <v>232</v>
      </c>
      <c r="G180" s="105" t="s">
        <v>233</v>
      </c>
      <c r="H180" s="105" t="s">
        <v>234</v>
      </c>
      <c r="I180" s="105" t="s">
        <v>235</v>
      </c>
      <c r="J180" s="105" t="s">
        <v>236</v>
      </c>
      <c r="K180" s="105" t="s">
        <v>237</v>
      </c>
      <c r="L180" s="105" t="s">
        <v>238</v>
      </c>
      <c r="M180" s="105" t="s">
        <v>239</v>
      </c>
      <c r="N180" s="105" t="s">
        <v>240</v>
      </c>
      <c r="O180" s="105" t="s">
        <v>241</v>
      </c>
      <c r="P180" s="105" t="s">
        <v>242</v>
      </c>
      <c r="Q180" s="105" t="s">
        <v>243</v>
      </c>
      <c r="R180" s="105" t="s">
        <v>244</v>
      </c>
    </row>
    <row r="181" spans="1:34" ht="15.75" customHeight="1" x14ac:dyDescent="0.25">
      <c r="A181" s="106" t="s">
        <v>245</v>
      </c>
      <c r="B181" s="44">
        <v>3.19497005188102E-3</v>
      </c>
      <c r="C181" s="44">
        <v>2.31590835963566E-2</v>
      </c>
      <c r="D181" s="44">
        <v>2.31590835963566E-2</v>
      </c>
      <c r="E181" s="44">
        <v>0</v>
      </c>
      <c r="F181" s="44">
        <v>0</v>
      </c>
      <c r="G181" s="44">
        <v>2.31590835963566E-2</v>
      </c>
      <c r="H181" s="44">
        <v>2.31590835963566E-2</v>
      </c>
      <c r="I181" s="44">
        <v>2.31590835963566E-2</v>
      </c>
      <c r="J181" s="44">
        <v>2.31590835963566E-2</v>
      </c>
      <c r="K181" s="44">
        <v>2.31590835963566E-2</v>
      </c>
      <c r="L181" s="44">
        <v>2.31590835963566E-2</v>
      </c>
      <c r="M181" s="44">
        <v>2.31590835963566E-2</v>
      </c>
      <c r="N181" s="44">
        <v>2.31590835963566E-2</v>
      </c>
      <c r="O181" s="44">
        <v>2.31590835963566E-2</v>
      </c>
      <c r="P181" s="44">
        <v>2.31590835963566E-2</v>
      </c>
      <c r="Q181" s="44">
        <v>2.31590835963566E-2</v>
      </c>
      <c r="R181" s="44">
        <v>2.31590835963566E-2</v>
      </c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</row>
    <row r="182" spans="1:34" ht="15.75" customHeight="1" x14ac:dyDescent="0.25">
      <c r="A182" s="106" t="s">
        <v>246</v>
      </c>
      <c r="B182" s="44">
        <v>7.8374948309083606E-2</v>
      </c>
      <c r="C182" s="44">
        <v>7.2226868088293095E-2</v>
      </c>
      <c r="D182" s="44">
        <v>7.2226868088293095E-2</v>
      </c>
      <c r="E182" s="44">
        <v>0</v>
      </c>
      <c r="F182" s="44">
        <v>0</v>
      </c>
      <c r="G182" s="44">
        <v>7.2226868088293095E-2</v>
      </c>
      <c r="H182" s="44">
        <v>7.2226868088293095E-2</v>
      </c>
      <c r="I182" s="44">
        <v>7.2226868088293095E-2</v>
      </c>
      <c r="J182" s="44">
        <v>7.2226868088293095E-2</v>
      </c>
      <c r="K182" s="44">
        <v>7.2226868088293095E-2</v>
      </c>
      <c r="L182" s="44">
        <v>7.2226868088293095E-2</v>
      </c>
      <c r="M182" s="44">
        <v>7.2226868088293095E-2</v>
      </c>
      <c r="N182" s="44">
        <v>7.2226868088293095E-2</v>
      </c>
      <c r="O182" s="44">
        <v>7.2226868088293095E-2</v>
      </c>
      <c r="P182" s="44">
        <v>7.2226868088293095E-2</v>
      </c>
      <c r="Q182" s="44">
        <v>7.2226868088293095E-2</v>
      </c>
      <c r="R182" s="44">
        <v>7.2226868088293095E-2</v>
      </c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</row>
    <row r="183" spans="1:34" ht="15.75" customHeight="1" x14ac:dyDescent="0.25">
      <c r="A183" s="106" t="s">
        <v>247</v>
      </c>
      <c r="B183" s="44">
        <v>8.59462824392432E-3</v>
      </c>
      <c r="C183" s="44">
        <v>5.4527601960244101E-2</v>
      </c>
      <c r="D183" s="44">
        <v>5.4527601960244101E-2</v>
      </c>
      <c r="E183" s="44">
        <v>0</v>
      </c>
      <c r="F183" s="44">
        <v>0</v>
      </c>
      <c r="G183" s="44">
        <v>5.4527601960244101E-2</v>
      </c>
      <c r="H183" s="44">
        <v>5.4527601960244101E-2</v>
      </c>
      <c r="I183" s="44">
        <v>5.4527601960244101E-2</v>
      </c>
      <c r="J183" s="44">
        <v>5.4527601960244101E-2</v>
      </c>
      <c r="K183" s="44">
        <v>5.4527601960244101E-2</v>
      </c>
      <c r="L183" s="44">
        <v>5.4527601960244101E-2</v>
      </c>
      <c r="M183" s="44">
        <v>5.4527601960244101E-2</v>
      </c>
      <c r="N183" s="44">
        <v>5.4527601960244101E-2</v>
      </c>
      <c r="O183" s="44">
        <v>5.4527601960244101E-2</v>
      </c>
      <c r="P183" s="44">
        <v>5.4527601960244101E-2</v>
      </c>
      <c r="Q183" s="44">
        <v>5.4527601960244101E-2</v>
      </c>
      <c r="R183" s="44">
        <v>5.4527601960244101E-2</v>
      </c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</row>
    <row r="184" spans="1:34" ht="15.75" customHeight="1" x14ac:dyDescent="0.25">
      <c r="A184" s="106" t="s">
        <v>248</v>
      </c>
      <c r="B184" s="44">
        <v>1.94235679619079E-2</v>
      </c>
      <c r="C184" s="44">
        <v>4.4122207848037699E-2</v>
      </c>
      <c r="D184" s="44">
        <v>4.4122207848037699E-2</v>
      </c>
      <c r="E184" s="44">
        <v>0</v>
      </c>
      <c r="F184" s="44">
        <v>0</v>
      </c>
      <c r="G184" s="44">
        <v>4.4122207848037699E-2</v>
      </c>
      <c r="H184" s="44">
        <v>4.4122207848037699E-2</v>
      </c>
      <c r="I184" s="44">
        <v>4.4122207848037699E-2</v>
      </c>
      <c r="J184" s="44">
        <v>4.4122207848037699E-2</v>
      </c>
      <c r="K184" s="44">
        <v>4.4122207848037699E-2</v>
      </c>
      <c r="L184" s="44">
        <v>4.4122207848037699E-2</v>
      </c>
      <c r="M184" s="44">
        <v>4.4122207848037699E-2</v>
      </c>
      <c r="N184" s="44">
        <v>4.4122207848037699E-2</v>
      </c>
      <c r="O184" s="44">
        <v>4.4122207848037699E-2</v>
      </c>
      <c r="P184" s="44">
        <v>4.4122207848037699E-2</v>
      </c>
      <c r="Q184" s="44">
        <v>4.4122207848037699E-2</v>
      </c>
      <c r="R184" s="44">
        <v>4.4122207848037699E-2</v>
      </c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</row>
    <row r="185" spans="1:34" ht="15.75" customHeight="1" x14ac:dyDescent="0.25">
      <c r="A185" s="106" t="s">
        <v>249</v>
      </c>
      <c r="B185" s="44">
        <v>3.9873808391657203E-2</v>
      </c>
      <c r="C185" s="44">
        <v>7.1541239240185905E-2</v>
      </c>
      <c r="D185" s="44">
        <v>7.1541239240185905E-2</v>
      </c>
      <c r="E185" s="44">
        <v>0</v>
      </c>
      <c r="F185" s="44">
        <v>0</v>
      </c>
      <c r="G185" s="44">
        <v>7.1541239240185905E-2</v>
      </c>
      <c r="H185" s="44">
        <v>7.1541239240185905E-2</v>
      </c>
      <c r="I185" s="44">
        <v>7.1541239240185905E-2</v>
      </c>
      <c r="J185" s="44">
        <v>7.1541239240185905E-2</v>
      </c>
      <c r="K185" s="44">
        <v>7.1541239240185905E-2</v>
      </c>
      <c r="L185" s="44">
        <v>7.1541239240185905E-2</v>
      </c>
      <c r="M185" s="44">
        <v>7.1541239240185905E-2</v>
      </c>
      <c r="N185" s="44">
        <v>7.1541239240185905E-2</v>
      </c>
      <c r="O185" s="44">
        <v>7.1541239240185905E-2</v>
      </c>
      <c r="P185" s="44">
        <v>7.1541239240185905E-2</v>
      </c>
      <c r="Q185" s="44">
        <v>7.1541239240185905E-2</v>
      </c>
      <c r="R185" s="44">
        <v>7.1541239240185905E-2</v>
      </c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</row>
    <row r="186" spans="1:34" ht="15.75" customHeight="1" x14ac:dyDescent="0.25">
      <c r="A186" s="103" t="s">
        <v>250</v>
      </c>
      <c r="B186" s="44"/>
      <c r="C186" s="44"/>
      <c r="D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34" ht="15.75" customHeight="1" x14ac:dyDescent="0.25">
      <c r="A187" s="107" t="s">
        <v>245</v>
      </c>
      <c r="B187" s="44">
        <v>0</v>
      </c>
      <c r="C187" s="44">
        <v>0</v>
      </c>
      <c r="D187" s="44">
        <v>0</v>
      </c>
      <c r="E187" s="44">
        <v>0</v>
      </c>
      <c r="F187" s="44">
        <v>0</v>
      </c>
      <c r="G187" s="44">
        <v>0</v>
      </c>
      <c r="H187" s="44">
        <v>0</v>
      </c>
      <c r="I187" s="44">
        <v>0</v>
      </c>
      <c r="J187" s="44">
        <v>0</v>
      </c>
      <c r="K187" s="44">
        <v>0</v>
      </c>
      <c r="L187" s="44">
        <v>0</v>
      </c>
      <c r="M187" s="44">
        <v>0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</row>
    <row r="188" spans="1:34" ht="15.75" customHeight="1" x14ac:dyDescent="0.25">
      <c r="A188" s="107" t="s">
        <v>246</v>
      </c>
      <c r="B188" s="44">
        <v>0</v>
      </c>
      <c r="C188" s="44">
        <v>0</v>
      </c>
      <c r="D188" s="44">
        <v>0</v>
      </c>
      <c r="E188" s="44">
        <v>0</v>
      </c>
      <c r="F188" s="44">
        <v>0</v>
      </c>
      <c r="G188" s="44">
        <v>0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</row>
    <row r="189" spans="1:34" ht="15.75" customHeight="1" x14ac:dyDescent="0.25">
      <c r="A189" s="107" t="s">
        <v>247</v>
      </c>
      <c r="B189" s="44">
        <v>0</v>
      </c>
      <c r="C189" s="44">
        <v>0</v>
      </c>
      <c r="D189" s="44">
        <v>0</v>
      </c>
      <c r="E189" s="44">
        <v>0</v>
      </c>
      <c r="F189" s="44">
        <v>0</v>
      </c>
      <c r="G189" s="44">
        <v>0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</row>
    <row r="190" spans="1:34" ht="15.75" customHeight="1" x14ac:dyDescent="0.25">
      <c r="A190" s="107" t="s">
        <v>248</v>
      </c>
      <c r="B190" s="44">
        <v>0</v>
      </c>
      <c r="C190" s="44">
        <v>0</v>
      </c>
      <c r="D190" s="44">
        <v>0</v>
      </c>
      <c r="E190" s="44">
        <v>0</v>
      </c>
      <c r="F190" s="44">
        <v>0</v>
      </c>
      <c r="G190" s="44">
        <v>0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</row>
    <row r="191" spans="1:34" ht="15.75" customHeight="1" x14ac:dyDescent="0.25">
      <c r="A191" s="107" t="s">
        <v>249</v>
      </c>
      <c r="B191" s="44">
        <v>0</v>
      </c>
      <c r="C191" s="44">
        <v>0</v>
      </c>
      <c r="D191" s="44">
        <v>0</v>
      </c>
      <c r="E191" s="44">
        <v>0</v>
      </c>
      <c r="F191" s="44">
        <v>0</v>
      </c>
      <c r="G191" s="44">
        <v>0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</row>
    <row r="192" spans="1:34" ht="15.75" customHeight="1" x14ac:dyDescent="0.25">
      <c r="A192" s="108" t="s">
        <v>251</v>
      </c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</row>
    <row r="193" spans="1:34" ht="15.75" customHeight="1" x14ac:dyDescent="0.25">
      <c r="A193" s="107" t="s">
        <v>245</v>
      </c>
      <c r="B193" s="44">
        <v>4.33427061003459E-3</v>
      </c>
      <c r="C193" s="44">
        <v>9.7805309370158893E-3</v>
      </c>
      <c r="D193" s="44">
        <v>9.7805309370158893E-3</v>
      </c>
      <c r="E193" s="44">
        <v>0</v>
      </c>
      <c r="F193" s="44">
        <v>0</v>
      </c>
      <c r="G193" s="44">
        <v>9.7805309370158893E-3</v>
      </c>
      <c r="H193" s="44">
        <v>9.7805309370158893E-3</v>
      </c>
      <c r="I193" s="44">
        <v>9.7805309370158893E-3</v>
      </c>
      <c r="J193" s="44">
        <v>9.7805309370158893E-3</v>
      </c>
      <c r="K193" s="44">
        <v>9.7805309370158893E-3</v>
      </c>
      <c r="L193" s="44">
        <v>9.7805309370158893E-3</v>
      </c>
      <c r="M193" s="44">
        <v>9.7805309370158893E-3</v>
      </c>
      <c r="N193" s="44">
        <v>9.7805309370158893E-3</v>
      </c>
      <c r="O193" s="44">
        <v>9.7805309370158893E-3</v>
      </c>
      <c r="P193" s="44">
        <v>9.7805309370158893E-3</v>
      </c>
      <c r="Q193" s="44">
        <v>9.7805309370158893E-3</v>
      </c>
      <c r="R193" s="44">
        <v>9.7805309370158893E-3</v>
      </c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</row>
    <row r="194" spans="1:34" ht="15.75" customHeight="1" x14ac:dyDescent="0.25">
      <c r="A194" s="107" t="s">
        <v>246</v>
      </c>
      <c r="B194" s="44">
        <v>2.1953290779956499E-2</v>
      </c>
      <c r="C194" s="44">
        <v>3.0545795800415599E-2</v>
      </c>
      <c r="D194" s="44">
        <v>3.0545795800415599E-2</v>
      </c>
      <c r="E194" s="44">
        <v>0</v>
      </c>
      <c r="F194" s="44">
        <v>0</v>
      </c>
      <c r="G194" s="44">
        <v>3.0545795800415599E-2</v>
      </c>
      <c r="H194" s="44">
        <v>3.0545795800415599E-2</v>
      </c>
      <c r="I194" s="44">
        <v>3.0545795800415599E-2</v>
      </c>
      <c r="J194" s="44">
        <v>3.0545795800415599E-2</v>
      </c>
      <c r="K194" s="44">
        <v>3.0545795800415599E-2</v>
      </c>
      <c r="L194" s="44">
        <v>3.0545795800415599E-2</v>
      </c>
      <c r="M194" s="44">
        <v>3.0545795800415599E-2</v>
      </c>
      <c r="N194" s="44">
        <v>3.0545795800415599E-2</v>
      </c>
      <c r="O194" s="44">
        <v>3.0545795800415599E-2</v>
      </c>
      <c r="P194" s="44">
        <v>3.0545795800415599E-2</v>
      </c>
      <c r="Q194" s="44">
        <v>3.0545795800415599E-2</v>
      </c>
      <c r="R194" s="44">
        <v>3.0545795800415599E-2</v>
      </c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</row>
    <row r="195" spans="1:34" ht="15.75" customHeight="1" x14ac:dyDescent="0.25">
      <c r="A195" s="107" t="s">
        <v>247</v>
      </c>
      <c r="B195" s="44">
        <v>2.5375451485255999E-2</v>
      </c>
      <c r="C195" s="44">
        <v>1.5085281250836999E-2</v>
      </c>
      <c r="D195" s="44">
        <v>1.5085281250836999E-2</v>
      </c>
      <c r="E195" s="44">
        <v>0</v>
      </c>
      <c r="F195" s="44">
        <v>0</v>
      </c>
      <c r="G195" s="44">
        <v>1.5085281250836999E-2</v>
      </c>
      <c r="H195" s="44">
        <v>1.5085281250836999E-2</v>
      </c>
      <c r="I195" s="44">
        <v>1.5085281250836999E-2</v>
      </c>
      <c r="J195" s="44">
        <v>1.5085281250836999E-2</v>
      </c>
      <c r="K195" s="44">
        <v>1.5085281250836999E-2</v>
      </c>
      <c r="L195" s="44">
        <v>1.5085281250836999E-2</v>
      </c>
      <c r="M195" s="44">
        <v>1.5085281250836999E-2</v>
      </c>
      <c r="N195" s="44">
        <v>1.5085281250836999E-2</v>
      </c>
      <c r="O195" s="44">
        <v>1.5085281250836999E-2</v>
      </c>
      <c r="P195" s="44">
        <v>1.5085281250836999E-2</v>
      </c>
      <c r="Q195" s="44">
        <v>1.5085281250836999E-2</v>
      </c>
      <c r="R195" s="44">
        <v>1.5085281250836999E-2</v>
      </c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</row>
    <row r="196" spans="1:34" ht="15.75" customHeight="1" x14ac:dyDescent="0.25">
      <c r="A196" s="107" t="s">
        <v>248</v>
      </c>
      <c r="B196" s="44">
        <v>1.08158724337356E-2</v>
      </c>
      <c r="C196" s="44">
        <v>1.6321765924539301E-2</v>
      </c>
      <c r="D196" s="44">
        <v>1.6321765924539301E-2</v>
      </c>
      <c r="E196" s="44">
        <v>0</v>
      </c>
      <c r="F196" s="44">
        <v>0</v>
      </c>
      <c r="G196" s="44">
        <v>1.6321765924539301E-2</v>
      </c>
      <c r="H196" s="44">
        <v>1.6321765924539301E-2</v>
      </c>
      <c r="I196" s="44">
        <v>1.6321765924539301E-2</v>
      </c>
      <c r="J196" s="44">
        <v>1.6321765924539301E-2</v>
      </c>
      <c r="K196" s="44">
        <v>1.6321765924539301E-2</v>
      </c>
      <c r="L196" s="44">
        <v>1.6321765924539301E-2</v>
      </c>
      <c r="M196" s="44">
        <v>1.6321765924539301E-2</v>
      </c>
      <c r="N196" s="44">
        <v>1.6321765924539301E-2</v>
      </c>
      <c r="O196" s="44">
        <v>1.6321765924539301E-2</v>
      </c>
      <c r="P196" s="44">
        <v>1.6321765924539301E-2</v>
      </c>
      <c r="Q196" s="44">
        <v>1.6321765924539301E-2</v>
      </c>
      <c r="R196" s="44">
        <v>1.6321765924539301E-2</v>
      </c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</row>
    <row r="197" spans="1:34" ht="15.75" customHeight="1" x14ac:dyDescent="0.25">
      <c r="A197" s="107" t="s">
        <v>249</v>
      </c>
      <c r="B197" s="44">
        <v>1.0890999470972801E-2</v>
      </c>
      <c r="C197" s="44">
        <v>2.7220182466985401E-2</v>
      </c>
      <c r="D197" s="44">
        <v>2.7220182466985401E-2</v>
      </c>
      <c r="E197" s="44">
        <v>0</v>
      </c>
      <c r="F197" s="44">
        <v>0</v>
      </c>
      <c r="G197" s="44">
        <v>2.7220182466985401E-2</v>
      </c>
      <c r="H197" s="44">
        <v>2.7220182466985401E-2</v>
      </c>
      <c r="I197" s="44">
        <v>2.7220182466985401E-2</v>
      </c>
      <c r="J197" s="44">
        <v>2.7220182466985401E-2</v>
      </c>
      <c r="K197" s="44">
        <v>2.7220182466985401E-2</v>
      </c>
      <c r="L197" s="44">
        <v>2.7220182466985401E-2</v>
      </c>
      <c r="M197" s="44">
        <v>2.7220182466985401E-2</v>
      </c>
      <c r="N197" s="44">
        <v>2.7220182466985401E-2</v>
      </c>
      <c r="O197" s="44">
        <v>2.7220182466985401E-2</v>
      </c>
      <c r="P197" s="44">
        <v>2.7220182466985401E-2</v>
      </c>
      <c r="Q197" s="44">
        <v>2.7220182466985401E-2</v>
      </c>
      <c r="R197" s="44">
        <v>2.7220182466985401E-2</v>
      </c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</row>
    <row r="198" spans="1:34" ht="15.75" customHeight="1" x14ac:dyDescent="0.25"/>
    <row r="199" spans="1:34" ht="15.75" customHeight="1" x14ac:dyDescent="0.25"/>
    <row r="200" spans="1:34" ht="15.75" customHeight="1" x14ac:dyDescent="0.25">
      <c r="A200" s="109" t="s">
        <v>252</v>
      </c>
      <c r="B200" s="110"/>
      <c r="C200" s="110"/>
      <c r="D200" s="110"/>
    </row>
    <row r="201" spans="1:34" ht="15.75" customHeight="1" x14ac:dyDescent="0.25">
      <c r="A201" s="111" t="s">
        <v>253</v>
      </c>
      <c r="B201" s="14" t="s">
        <v>254</v>
      </c>
      <c r="C201" s="112">
        <v>8.0799999999999997E-2</v>
      </c>
      <c r="D201" s="42"/>
    </row>
    <row r="202" spans="1:34" ht="15.75" customHeight="1" x14ac:dyDescent="0.25">
      <c r="A202" s="111" t="s">
        <v>255</v>
      </c>
      <c r="B202" s="14" t="s">
        <v>195</v>
      </c>
      <c r="C202" s="112">
        <v>1.9800000000000002E-2</v>
      </c>
      <c r="D202" s="42"/>
    </row>
    <row r="203" spans="1:34" ht="15.75" customHeight="1" x14ac:dyDescent="0.25">
      <c r="A203" s="111" t="s">
        <v>256</v>
      </c>
      <c r="B203" s="14" t="s">
        <v>254</v>
      </c>
      <c r="C203" s="112">
        <v>0.15</v>
      </c>
      <c r="D203" s="42"/>
    </row>
    <row r="204" spans="1:34" ht="15.75" customHeight="1" x14ac:dyDescent="0.25">
      <c r="A204" s="111" t="s">
        <v>257</v>
      </c>
      <c r="B204" s="14" t="s">
        <v>254</v>
      </c>
      <c r="C204" s="112">
        <v>5.2880000000000002E-3</v>
      </c>
      <c r="D204" s="42"/>
    </row>
    <row r="205" spans="1:34" ht="15.75" customHeight="1" x14ac:dyDescent="0.25">
      <c r="A205" s="111" t="s">
        <v>258</v>
      </c>
      <c r="B205" s="14" t="s">
        <v>254</v>
      </c>
      <c r="C205" s="112">
        <v>0.4</v>
      </c>
      <c r="D205" s="42"/>
    </row>
    <row r="206" spans="1:34" ht="15.75" customHeight="1" x14ac:dyDescent="0.25">
      <c r="A206" s="111" t="s">
        <v>259</v>
      </c>
      <c r="B206" s="14" t="s">
        <v>254</v>
      </c>
      <c r="C206" s="112">
        <v>0.1</v>
      </c>
      <c r="D206" s="42"/>
    </row>
    <row r="207" spans="1:34" ht="15.75" customHeight="1" x14ac:dyDescent="0.25">
      <c r="A207" s="111" t="s">
        <v>268</v>
      </c>
      <c r="B207" s="14" t="s">
        <v>269</v>
      </c>
      <c r="C207" s="162">
        <v>325</v>
      </c>
      <c r="D207" s="44"/>
    </row>
    <row r="208" spans="1:34" ht="15.75" customHeight="1" x14ac:dyDescent="0.25">
      <c r="A208" s="111" t="s">
        <v>261</v>
      </c>
      <c r="B208" s="41" t="s">
        <v>82</v>
      </c>
      <c r="C208" s="162">
        <v>0</v>
      </c>
    </row>
    <row r="209" spans="1:3" ht="15.75" customHeight="1" x14ac:dyDescent="0.25">
      <c r="A209" s="111" t="s">
        <v>262</v>
      </c>
      <c r="B209" s="41" t="s">
        <v>82</v>
      </c>
      <c r="C209" s="162">
        <v>0</v>
      </c>
    </row>
    <row r="210" spans="1:3" ht="15.75" customHeight="1" x14ac:dyDescent="0.25">
      <c r="A210" s="109" t="s">
        <v>264</v>
      </c>
      <c r="B210" s="110"/>
      <c r="C210" s="110"/>
    </row>
    <row r="211" spans="1:3" ht="15.75" customHeight="1" x14ac:dyDescent="0.25">
      <c r="A211" s="111" t="s">
        <v>303</v>
      </c>
      <c r="B211" s="14" t="s">
        <v>195</v>
      </c>
      <c r="C211" s="112">
        <v>0.23</v>
      </c>
    </row>
    <row r="212" spans="1:3" ht="15.75" customHeight="1" x14ac:dyDescent="0.25">
      <c r="A212" s="109" t="s">
        <v>94</v>
      </c>
      <c r="B212" s="110"/>
      <c r="C212" s="110"/>
    </row>
    <row r="213" spans="1:3" ht="15.75" customHeight="1" x14ac:dyDescent="0.25">
      <c r="A213" s="111" t="s">
        <v>304</v>
      </c>
      <c r="B213" s="14" t="s">
        <v>80</v>
      </c>
      <c r="C213" s="112">
        <v>4</v>
      </c>
    </row>
    <row r="214" spans="1:3" ht="15.75" customHeight="1" x14ac:dyDescent="0.25"/>
    <row r="215" spans="1:3" ht="15.75" customHeight="1" x14ac:dyDescent="0.25">
      <c r="A215" s="111" t="s">
        <v>305</v>
      </c>
      <c r="B215" s="14" t="s">
        <v>80</v>
      </c>
      <c r="C215" s="112">
        <v>2</v>
      </c>
    </row>
    <row r="216" spans="1:3" ht="15.75" customHeight="1" x14ac:dyDescent="0.25"/>
    <row r="217" spans="1:3" ht="15.75" customHeight="1" x14ac:dyDescent="0.25"/>
    <row r="218" spans="1:3" ht="15.75" customHeight="1" x14ac:dyDescent="0.25"/>
    <row r="219" spans="1:3" ht="15.75" customHeight="1" x14ac:dyDescent="0.25"/>
    <row r="220" spans="1:3" ht="15.75" customHeight="1" x14ac:dyDescent="0.25"/>
    <row r="221" spans="1:3" ht="15.75" customHeight="1" x14ac:dyDescent="0.25"/>
    <row r="222" spans="1:3" ht="15.75" customHeight="1" x14ac:dyDescent="0.25"/>
    <row r="223" spans="1:3" ht="15.75" customHeight="1" x14ac:dyDescent="0.25"/>
    <row r="224" spans="1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9">
    <mergeCell ref="A99:B99"/>
    <mergeCell ref="A72:C72"/>
    <mergeCell ref="A78:C78"/>
    <mergeCell ref="E78:G78"/>
    <mergeCell ref="A59:A60"/>
    <mergeCell ref="B59:B60"/>
    <mergeCell ref="C59:C60"/>
    <mergeCell ref="A61:A62"/>
    <mergeCell ref="B61:B62"/>
    <mergeCell ref="C61:C62"/>
    <mergeCell ref="A64:A65"/>
    <mergeCell ref="B64:B65"/>
    <mergeCell ref="C64:C65"/>
    <mergeCell ref="A67:A68"/>
    <mergeCell ref="B67:B68"/>
    <mergeCell ref="C67:C68"/>
    <mergeCell ref="A50:A51"/>
    <mergeCell ref="B50:B51"/>
    <mergeCell ref="C50:C51"/>
    <mergeCell ref="B57:B58"/>
    <mergeCell ref="C57:C58"/>
    <mergeCell ref="A52:A53"/>
    <mergeCell ref="B52:B53"/>
    <mergeCell ref="C52:C53"/>
    <mergeCell ref="A54:A55"/>
    <mergeCell ref="B54:B55"/>
    <mergeCell ref="C54:C55"/>
    <mergeCell ref="A57:A58"/>
    <mergeCell ref="H28:J28"/>
    <mergeCell ref="A30:C30"/>
    <mergeCell ref="E30:G30"/>
    <mergeCell ref="E32:G32"/>
    <mergeCell ref="A36:C36"/>
    <mergeCell ref="E36:G36"/>
    <mergeCell ref="A22:C22"/>
    <mergeCell ref="A23:C23"/>
    <mergeCell ref="A24:C24"/>
    <mergeCell ref="A27:C27"/>
    <mergeCell ref="E28:G28"/>
  </mergeCells>
  <conditionalFormatting sqref="B180:R180">
    <cfRule type="cellIs" dxfId="6" priority="1" operator="lessThan">
      <formula>0</formula>
    </cfRule>
  </conditionalFormatting>
  <dataValidations count="2">
    <dataValidation type="custom" allowBlank="1" showInputMessage="1" showErrorMessage="1" prompt="Error - Energy intensity for all sectors is selected" sqref="S181:AH185 S193:AH197" xr:uid="{00000000-0002-0000-0200-000000000000}">
      <formula1>#REF!=1</formula1>
    </dataValidation>
    <dataValidation type="custom" allowBlank="1" showInputMessage="1" showErrorMessage="1" prompt="Error - Energy intensity for all sectors is selected" sqref="B181:D185 G181:R185 B193:D197 G193:R197" xr:uid="{00000000-0002-0000-0200-000001000000}">
      <formula1>$A$370=1</formula1>
    </dataValidation>
  </dataValidation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95959"/>
  </sheetPr>
  <dimension ref="A1:AH1000"/>
  <sheetViews>
    <sheetView topLeftCell="A91" zoomScale="90" zoomScaleNormal="90" workbookViewId="0">
      <selection activeCell="D100" sqref="D100"/>
    </sheetView>
  </sheetViews>
  <sheetFormatPr baseColWidth="10" defaultColWidth="14.42578125" defaultRowHeight="15" customHeight="1" x14ac:dyDescent="0.25"/>
  <cols>
    <col min="1" max="1" width="54.42578125" customWidth="1"/>
    <col min="2" max="2" width="32.42578125" customWidth="1"/>
    <col min="3" max="3" width="12" customWidth="1"/>
    <col min="4" max="4" width="15.42578125" customWidth="1"/>
    <col min="5" max="5" width="39.7109375" customWidth="1"/>
    <col min="6" max="6" width="24.28515625" customWidth="1"/>
    <col min="7" max="7" width="33.85546875" customWidth="1"/>
    <col min="8" max="8" width="13.7109375" customWidth="1"/>
    <col min="9" max="9" width="13.42578125" customWidth="1"/>
    <col min="10" max="18" width="10.7109375" customWidth="1"/>
    <col min="19" max="20" width="17.7109375" customWidth="1"/>
    <col min="21" max="21" width="16.7109375" customWidth="1"/>
    <col min="22" max="23" width="13.42578125" customWidth="1"/>
    <col min="24" max="25" width="10.7109375" customWidth="1"/>
    <col min="26" max="26" width="21.28515625" customWidth="1"/>
    <col min="27" max="34" width="10.7109375" customWidth="1"/>
  </cols>
  <sheetData>
    <row r="1" spans="1:34" x14ac:dyDescent="0.25">
      <c r="G1" s="163" t="s">
        <v>306</v>
      </c>
    </row>
    <row r="2" spans="1:34" x14ac:dyDescent="0.25">
      <c r="A2" s="22" t="s">
        <v>0</v>
      </c>
      <c r="B2" s="1" t="s">
        <v>70</v>
      </c>
      <c r="C2" s="1" t="s">
        <v>71</v>
      </c>
      <c r="E2" s="1" t="s">
        <v>307</v>
      </c>
      <c r="G2" s="164" t="s">
        <v>308</v>
      </c>
      <c r="U2" s="11"/>
      <c r="V2" s="11"/>
      <c r="X2" s="11"/>
    </row>
    <row r="3" spans="1:34" x14ac:dyDescent="0.25">
      <c r="A3" s="1"/>
      <c r="B3" s="25" t="s">
        <v>8</v>
      </c>
      <c r="C3" s="25" t="s">
        <v>8</v>
      </c>
      <c r="E3" s="25" t="s">
        <v>8</v>
      </c>
      <c r="G3" s="165" t="s">
        <v>309</v>
      </c>
      <c r="U3" s="11"/>
      <c r="V3" s="11"/>
      <c r="X3" s="11"/>
    </row>
    <row r="4" spans="1:34" x14ac:dyDescent="0.25">
      <c r="A4" s="2" t="s">
        <v>11</v>
      </c>
      <c r="B4" s="166"/>
      <c r="C4" s="167">
        <v>0.54</v>
      </c>
      <c r="E4" s="168"/>
      <c r="G4" s="169" t="s">
        <v>310</v>
      </c>
      <c r="H4" s="288"/>
      <c r="U4" s="27"/>
      <c r="X4" s="28"/>
    </row>
    <row r="5" spans="1:34" ht="30" x14ac:dyDescent="0.25">
      <c r="A5" s="6" t="s">
        <v>13</v>
      </c>
      <c r="B5" s="170"/>
      <c r="C5" s="171"/>
      <c r="E5" s="172"/>
      <c r="G5" s="173" t="s">
        <v>311</v>
      </c>
      <c r="U5" s="8"/>
      <c r="X5" s="31"/>
    </row>
    <row r="6" spans="1:34" x14ac:dyDescent="0.25">
      <c r="A6" s="6" t="s">
        <v>14</v>
      </c>
      <c r="B6" s="170"/>
      <c r="C6" s="174"/>
      <c r="E6" s="168"/>
      <c r="G6" s="175" t="s">
        <v>312</v>
      </c>
      <c r="U6" s="8"/>
      <c r="X6" s="31"/>
    </row>
    <row r="7" spans="1:34" x14ac:dyDescent="0.25">
      <c r="A7" s="6" t="s">
        <v>15</v>
      </c>
      <c r="B7" s="170"/>
      <c r="C7" s="174"/>
      <c r="E7" s="176"/>
      <c r="G7" s="177" t="s">
        <v>313</v>
      </c>
      <c r="U7" s="8"/>
      <c r="X7" s="31"/>
    </row>
    <row r="8" spans="1:34" x14ac:dyDescent="0.25">
      <c r="A8" s="6" t="s">
        <v>16</v>
      </c>
      <c r="B8" s="170"/>
      <c r="C8" s="178">
        <v>0.35</v>
      </c>
      <c r="E8" s="168"/>
      <c r="U8" s="8"/>
      <c r="X8" s="31"/>
    </row>
    <row r="9" spans="1:34" x14ac:dyDescent="0.25">
      <c r="A9" s="6" t="s">
        <v>17</v>
      </c>
      <c r="B9" s="170"/>
      <c r="C9" s="179"/>
      <c r="E9" s="168"/>
      <c r="U9" s="8"/>
      <c r="X9" s="31"/>
    </row>
    <row r="10" spans="1:34" x14ac:dyDescent="0.25">
      <c r="A10" s="6" t="s">
        <v>18</v>
      </c>
      <c r="B10" s="170"/>
      <c r="C10" s="179"/>
      <c r="E10" s="176"/>
      <c r="U10" s="8"/>
      <c r="X10" s="31"/>
    </row>
    <row r="11" spans="1:34" x14ac:dyDescent="0.25">
      <c r="A11" s="6" t="s">
        <v>19</v>
      </c>
      <c r="B11" s="180"/>
      <c r="C11" s="179"/>
      <c r="E11" s="176"/>
      <c r="U11" s="8"/>
      <c r="X11" s="31"/>
    </row>
    <row r="12" spans="1:34" x14ac:dyDescent="0.25">
      <c r="A12" s="34"/>
      <c r="B12" s="35"/>
      <c r="C12" s="35"/>
      <c r="E12" s="168"/>
      <c r="U12" s="8"/>
      <c r="X12" s="31"/>
    </row>
    <row r="13" spans="1:34" x14ac:dyDescent="0.25">
      <c r="A13" s="36" t="s">
        <v>20</v>
      </c>
      <c r="B13" s="181"/>
      <c r="C13" s="179"/>
      <c r="D13" s="8"/>
      <c r="E13" s="168"/>
      <c r="U13" s="8"/>
      <c r="X13" s="31"/>
    </row>
    <row r="14" spans="1:34" x14ac:dyDescent="0.25">
      <c r="A14" s="39"/>
      <c r="B14" s="39"/>
      <c r="C14" s="39"/>
      <c r="D14" s="10"/>
      <c r="E14" s="18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x14ac:dyDescent="0.25">
      <c r="A15" s="40" t="s">
        <v>21</v>
      </c>
      <c r="B15" s="170"/>
      <c r="C15" s="183"/>
      <c r="D15" s="8"/>
      <c r="E15" s="183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8"/>
      <c r="T15" s="8"/>
      <c r="U15" s="42"/>
      <c r="V15" s="42"/>
      <c r="X15" s="42"/>
    </row>
    <row r="16" spans="1:34" x14ac:dyDescent="0.25">
      <c r="A16" s="12" t="s">
        <v>22</v>
      </c>
      <c r="B16" s="170"/>
      <c r="C16" s="184"/>
      <c r="D16" s="8"/>
      <c r="E16" s="183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8"/>
      <c r="T16" s="8"/>
      <c r="U16" s="42"/>
      <c r="V16" s="42"/>
      <c r="X16" s="42"/>
    </row>
    <row r="17" spans="1:24" x14ac:dyDescent="0.25">
      <c r="A17" s="12" t="s">
        <v>23</v>
      </c>
      <c r="B17" s="170"/>
      <c r="C17" s="185"/>
      <c r="D17" s="8"/>
      <c r="E17" s="183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8"/>
      <c r="T17" s="8"/>
      <c r="U17" s="42"/>
      <c r="V17" s="42"/>
      <c r="X17" s="42"/>
    </row>
    <row r="20" spans="1:24" x14ac:dyDescent="0.25">
      <c r="A20" s="22" t="s">
        <v>72</v>
      </c>
      <c r="B20" s="14">
        <v>0</v>
      </c>
      <c r="C20" s="14">
        <f t="shared" ref="C20:K20" si="0">1+B20</f>
        <v>1</v>
      </c>
      <c r="D20" s="14">
        <f t="shared" si="0"/>
        <v>2</v>
      </c>
      <c r="E20" s="14">
        <f t="shared" si="0"/>
        <v>3</v>
      </c>
      <c r="F20" s="14">
        <f t="shared" si="0"/>
        <v>4</v>
      </c>
      <c r="G20" s="14">
        <f t="shared" si="0"/>
        <v>5</v>
      </c>
      <c r="H20" s="14">
        <f t="shared" si="0"/>
        <v>6</v>
      </c>
      <c r="I20" s="14">
        <f t="shared" si="0"/>
        <v>7</v>
      </c>
      <c r="J20" s="14">
        <f t="shared" si="0"/>
        <v>8</v>
      </c>
      <c r="K20" s="34">
        <f t="shared" si="0"/>
        <v>9</v>
      </c>
      <c r="L20" s="127"/>
    </row>
    <row r="21" spans="1:24" ht="15.75" customHeight="1" x14ac:dyDescent="0.25">
      <c r="A21" s="6" t="s">
        <v>73</v>
      </c>
      <c r="B21" s="14"/>
      <c r="C21" s="14"/>
      <c r="D21" s="14"/>
      <c r="E21" s="14"/>
      <c r="F21" s="14"/>
      <c r="G21" s="14"/>
      <c r="H21" s="14"/>
      <c r="I21" s="14"/>
      <c r="J21" s="14"/>
      <c r="K21" s="34"/>
      <c r="L21" s="127"/>
    </row>
    <row r="22" spans="1:24" ht="15.75" customHeight="1" x14ac:dyDescent="0.25">
      <c r="A22" s="297"/>
      <c r="B22" s="298"/>
      <c r="C22" s="298"/>
    </row>
    <row r="23" spans="1:24" ht="15.75" customHeight="1" x14ac:dyDescent="0.25">
      <c r="A23" s="299"/>
      <c r="B23" s="298"/>
      <c r="C23" s="298"/>
    </row>
    <row r="24" spans="1:24" ht="15.75" customHeight="1" x14ac:dyDescent="0.25">
      <c r="A24" s="300" t="s">
        <v>30</v>
      </c>
      <c r="B24" s="301"/>
      <c r="C24" s="302"/>
      <c r="L24" s="44"/>
    </row>
    <row r="25" spans="1:24" ht="15.75" customHeight="1" x14ac:dyDescent="0.25">
      <c r="A25" s="6" t="s">
        <v>74</v>
      </c>
      <c r="B25" s="14" t="s">
        <v>8</v>
      </c>
      <c r="C25" s="186">
        <v>0.37440000000000001</v>
      </c>
      <c r="L25" s="44"/>
    </row>
    <row r="26" spans="1:24" ht="15.75" customHeight="1" x14ac:dyDescent="0.25">
      <c r="A26" s="6" t="s">
        <v>75</v>
      </c>
      <c r="B26" s="14" t="s">
        <v>8</v>
      </c>
      <c r="C26" s="186">
        <v>0.37730000000000002</v>
      </c>
      <c r="E26" s="6" t="s">
        <v>76</v>
      </c>
      <c r="F26" s="14" t="s">
        <v>8</v>
      </c>
      <c r="G26" s="187">
        <v>0</v>
      </c>
      <c r="L26" s="44"/>
    </row>
    <row r="27" spans="1:24" ht="15.75" customHeight="1" x14ac:dyDescent="0.25">
      <c r="A27" s="303" t="s">
        <v>77</v>
      </c>
      <c r="B27" s="294"/>
      <c r="C27" s="295"/>
      <c r="E27" s="6" t="s">
        <v>78</v>
      </c>
      <c r="F27" s="14" t="s">
        <v>8</v>
      </c>
      <c r="G27" s="188"/>
      <c r="L27" s="45"/>
    </row>
    <row r="28" spans="1:24" ht="15.75" customHeight="1" x14ac:dyDescent="0.25">
      <c r="A28" s="6" t="s">
        <v>79</v>
      </c>
      <c r="B28" s="14" t="s">
        <v>80</v>
      </c>
      <c r="C28" s="189">
        <v>0</v>
      </c>
      <c r="E28" s="303" t="s">
        <v>32</v>
      </c>
      <c r="F28" s="294"/>
      <c r="G28" s="295"/>
      <c r="H28" s="297"/>
      <c r="I28" s="298"/>
      <c r="J28" s="298"/>
      <c r="L28" s="45"/>
    </row>
    <row r="29" spans="1:24" ht="15.75" customHeight="1" x14ac:dyDescent="0.25">
      <c r="A29" s="6"/>
      <c r="B29" s="14"/>
      <c r="C29" s="14"/>
      <c r="E29" s="6" t="s">
        <v>83</v>
      </c>
      <c r="F29" s="14" t="s">
        <v>8</v>
      </c>
      <c r="G29" s="190"/>
    </row>
    <row r="30" spans="1:24" ht="15.75" customHeight="1" x14ac:dyDescent="0.25">
      <c r="A30" s="303" t="s">
        <v>84</v>
      </c>
      <c r="B30" s="294"/>
      <c r="C30" s="295"/>
      <c r="E30" s="303" t="s">
        <v>85</v>
      </c>
      <c r="F30" s="294"/>
      <c r="G30" s="295"/>
    </row>
    <row r="31" spans="1:24" ht="15.75" customHeight="1" x14ac:dyDescent="0.25">
      <c r="A31" s="6" t="s">
        <v>86</v>
      </c>
      <c r="B31" s="14" t="s">
        <v>8</v>
      </c>
      <c r="C31" s="191"/>
      <c r="E31" s="6" t="s">
        <v>87</v>
      </c>
      <c r="F31" s="14" t="s">
        <v>8</v>
      </c>
      <c r="G31" s="188"/>
    </row>
    <row r="32" spans="1:24" ht="15.75" customHeight="1" x14ac:dyDescent="0.25">
      <c r="A32" s="6" t="s">
        <v>88</v>
      </c>
      <c r="B32" s="14" t="s">
        <v>8</v>
      </c>
      <c r="C32" s="191"/>
      <c r="E32" s="303" t="s">
        <v>89</v>
      </c>
      <c r="F32" s="294"/>
      <c r="G32" s="295"/>
      <c r="L32" s="43"/>
    </row>
    <row r="33" spans="1:31" ht="15.75" customHeight="1" x14ac:dyDescent="0.25">
      <c r="A33" s="6" t="s">
        <v>90</v>
      </c>
      <c r="B33" s="14" t="s">
        <v>8</v>
      </c>
      <c r="C33" s="191"/>
      <c r="E33" s="6" t="s">
        <v>91</v>
      </c>
      <c r="F33" s="14" t="s">
        <v>8</v>
      </c>
      <c r="G33" s="188"/>
      <c r="L33" s="43"/>
    </row>
    <row r="34" spans="1:31" ht="15.75" customHeight="1" x14ac:dyDescent="0.25">
      <c r="A34" s="6" t="s">
        <v>92</v>
      </c>
      <c r="B34" s="14" t="s">
        <v>8</v>
      </c>
      <c r="C34" s="191"/>
      <c r="L34" s="43"/>
    </row>
    <row r="35" spans="1:31" ht="15.75" customHeight="1" x14ac:dyDescent="0.25">
      <c r="C35" s="42"/>
      <c r="L35" s="43"/>
    </row>
    <row r="36" spans="1:31" ht="15.75" customHeight="1" x14ac:dyDescent="0.25">
      <c r="A36" s="303" t="s">
        <v>93</v>
      </c>
      <c r="B36" s="294"/>
      <c r="C36" s="295"/>
      <c r="E36" s="304" t="s">
        <v>94</v>
      </c>
      <c r="F36" s="294"/>
      <c r="G36" s="295"/>
    </row>
    <row r="37" spans="1:31" ht="15.75" customHeight="1" x14ac:dyDescent="0.25">
      <c r="A37" s="6" t="s">
        <v>95</v>
      </c>
      <c r="B37" s="14" t="s">
        <v>8</v>
      </c>
      <c r="C37" s="189"/>
      <c r="E37" s="6" t="s">
        <v>96</v>
      </c>
      <c r="F37" s="14" t="s">
        <v>8</v>
      </c>
      <c r="G37" s="189"/>
    </row>
    <row r="38" spans="1:31" ht="15.75" customHeight="1" x14ac:dyDescent="0.25">
      <c r="A38" s="6" t="s">
        <v>97</v>
      </c>
      <c r="B38" s="14" t="s">
        <v>8</v>
      </c>
      <c r="C38" s="189"/>
      <c r="E38" s="6" t="s">
        <v>98</v>
      </c>
      <c r="F38" s="14" t="s">
        <v>8</v>
      </c>
      <c r="G38" s="189"/>
    </row>
    <row r="39" spans="1:31" ht="15.75" customHeight="1" x14ac:dyDescent="0.25">
      <c r="A39" s="6" t="s">
        <v>99</v>
      </c>
      <c r="B39" s="14" t="s">
        <v>8</v>
      </c>
      <c r="C39" s="189"/>
      <c r="E39" s="6" t="s">
        <v>100</v>
      </c>
      <c r="F39" s="14" t="s">
        <v>8</v>
      </c>
      <c r="G39" s="189"/>
    </row>
    <row r="40" spans="1:31" ht="15.75" customHeight="1" x14ac:dyDescent="0.25">
      <c r="A40" s="6" t="s">
        <v>101</v>
      </c>
      <c r="B40" s="14" t="s">
        <v>8</v>
      </c>
      <c r="C40" s="189"/>
      <c r="E40" s="6" t="s">
        <v>102</v>
      </c>
      <c r="F40" s="14" t="s">
        <v>8</v>
      </c>
      <c r="G40" s="189"/>
    </row>
    <row r="41" spans="1:31" ht="15.75" customHeight="1" x14ac:dyDescent="0.25">
      <c r="A41" s="6" t="s">
        <v>103</v>
      </c>
      <c r="B41" s="14" t="s">
        <v>8</v>
      </c>
      <c r="C41" s="189"/>
      <c r="E41" s="6" t="s">
        <v>104</v>
      </c>
      <c r="F41" s="14" t="s">
        <v>8</v>
      </c>
      <c r="G41" s="189"/>
    </row>
    <row r="42" spans="1:31" ht="15.75" customHeight="1" x14ac:dyDescent="0.25">
      <c r="A42" s="6" t="s">
        <v>105</v>
      </c>
      <c r="B42" s="14" t="s">
        <v>8</v>
      </c>
      <c r="C42" s="189"/>
      <c r="E42" s="6" t="s">
        <v>106</v>
      </c>
      <c r="F42" s="14" t="s">
        <v>8</v>
      </c>
      <c r="G42" s="189"/>
      <c r="Y42" s="45"/>
    </row>
    <row r="43" spans="1:31" ht="15.75" customHeight="1" x14ac:dyDescent="0.25">
      <c r="A43" s="6" t="s">
        <v>107</v>
      </c>
      <c r="B43" s="14" t="s">
        <v>8</v>
      </c>
      <c r="C43" s="189"/>
      <c r="E43" s="6" t="s">
        <v>108</v>
      </c>
      <c r="F43" s="14" t="s">
        <v>8</v>
      </c>
      <c r="G43" s="189"/>
      <c r="Z43" s="47"/>
    </row>
    <row r="44" spans="1:31" ht="15.75" customHeight="1" x14ac:dyDescent="0.25">
      <c r="A44" s="6" t="s">
        <v>109</v>
      </c>
      <c r="B44" s="14" t="s">
        <v>8</v>
      </c>
      <c r="C44" s="189"/>
      <c r="E44" s="6" t="s">
        <v>110</v>
      </c>
      <c r="F44" s="14" t="s">
        <v>8</v>
      </c>
      <c r="G44" s="189"/>
    </row>
    <row r="45" spans="1:31" ht="15.75" customHeight="1" x14ac:dyDescent="0.25"/>
    <row r="46" spans="1:31" ht="15.75" customHeight="1" x14ac:dyDescent="0.25"/>
    <row r="47" spans="1:31" ht="15.75" customHeight="1" x14ac:dyDescent="0.25">
      <c r="A47" s="48" t="s">
        <v>111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spans="1:31" ht="15.75" customHeight="1" x14ac:dyDescent="0.25">
      <c r="A48" s="50" t="s">
        <v>0</v>
      </c>
      <c r="B48" s="51" t="s">
        <v>112</v>
      </c>
      <c r="C48" s="52" t="s">
        <v>113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3"/>
      <c r="V48" s="53"/>
      <c r="W48" s="53"/>
      <c r="X48" s="53"/>
      <c r="Y48" s="53"/>
      <c r="Z48" s="53"/>
      <c r="AA48" s="54"/>
      <c r="AB48" s="53"/>
      <c r="AC48" s="53"/>
      <c r="AD48" s="53"/>
      <c r="AE48" s="53"/>
    </row>
    <row r="49" spans="1:31" ht="15.75" customHeight="1" x14ac:dyDescent="0.25">
      <c r="A49" s="19" t="s">
        <v>114</v>
      </c>
      <c r="B49" s="55"/>
      <c r="C49" s="56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8"/>
      <c r="AE49" s="58"/>
    </row>
    <row r="50" spans="1:31" ht="15.75" customHeight="1" x14ac:dyDescent="0.25">
      <c r="A50" s="305" t="s">
        <v>115</v>
      </c>
      <c r="B50" s="307" t="s">
        <v>12</v>
      </c>
      <c r="C50" s="328"/>
      <c r="D50" s="59" t="s">
        <v>116</v>
      </c>
      <c r="E50" s="192"/>
      <c r="F50" s="66"/>
      <c r="G50" s="66"/>
      <c r="H50" s="65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1"/>
      <c r="AB50" s="60"/>
      <c r="AC50" s="60"/>
      <c r="AD50" s="60"/>
      <c r="AE50" s="60"/>
    </row>
    <row r="51" spans="1:31" ht="15.75" customHeight="1" x14ac:dyDescent="0.25">
      <c r="A51" s="306"/>
      <c r="B51" s="306"/>
      <c r="C51" s="309"/>
      <c r="D51" s="59" t="s">
        <v>117</v>
      </c>
      <c r="E51" s="193"/>
      <c r="F51" s="70"/>
      <c r="G51" s="70"/>
      <c r="H51" s="63"/>
      <c r="I51" s="63"/>
      <c r="J51" s="63"/>
      <c r="K51" s="62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4"/>
      <c r="AB51" s="63"/>
      <c r="AC51" s="63"/>
      <c r="AD51" s="63"/>
      <c r="AE51" s="63"/>
    </row>
    <row r="52" spans="1:31" ht="15.75" customHeight="1" x14ac:dyDescent="0.25">
      <c r="A52" s="307" t="s">
        <v>118</v>
      </c>
      <c r="B52" s="307" t="s">
        <v>12</v>
      </c>
      <c r="C52" s="328"/>
      <c r="D52" s="130" t="s">
        <v>116</v>
      </c>
      <c r="E52" s="194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</row>
    <row r="53" spans="1:31" ht="15.75" customHeight="1" x14ac:dyDescent="0.25">
      <c r="A53" s="311"/>
      <c r="B53" s="306"/>
      <c r="C53" s="309"/>
      <c r="D53" s="130" t="s">
        <v>117</v>
      </c>
      <c r="E53" s="195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8"/>
      <c r="W53" s="68"/>
      <c r="X53" s="68"/>
      <c r="Y53" s="68"/>
      <c r="Z53" s="68"/>
      <c r="AA53" s="68"/>
      <c r="AB53" s="68"/>
      <c r="AC53" s="68"/>
      <c r="AD53" s="68"/>
      <c r="AE53" s="68"/>
    </row>
    <row r="54" spans="1:31" ht="15.75" customHeight="1" x14ac:dyDescent="0.25">
      <c r="A54" s="307" t="s">
        <v>119</v>
      </c>
      <c r="B54" s="323">
        <v>0.5</v>
      </c>
      <c r="C54" s="329"/>
      <c r="D54" s="130" t="s">
        <v>116</v>
      </c>
      <c r="E54" s="196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2"/>
      <c r="AB54" s="131"/>
      <c r="AC54" s="131"/>
      <c r="AD54" s="131"/>
      <c r="AE54" s="131"/>
    </row>
    <row r="55" spans="1:31" ht="15.75" customHeight="1" x14ac:dyDescent="0.25">
      <c r="A55" s="306"/>
      <c r="B55" s="321"/>
      <c r="C55" s="321"/>
      <c r="D55" s="130" t="s">
        <v>117</v>
      </c>
      <c r="E55" s="197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5"/>
      <c r="AB55" s="134"/>
      <c r="AC55" s="134"/>
      <c r="AD55" s="134"/>
      <c r="AE55" s="134"/>
    </row>
    <row r="56" spans="1:31" ht="15.75" customHeight="1" x14ac:dyDescent="0.25">
      <c r="A56" s="19" t="s">
        <v>120</v>
      </c>
      <c r="B56" s="56"/>
      <c r="C56" s="56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8"/>
      <c r="AE56" s="58"/>
    </row>
    <row r="57" spans="1:31" ht="15.75" customHeight="1" x14ac:dyDescent="0.25">
      <c r="A57" s="307" t="s">
        <v>121</v>
      </c>
      <c r="B57" s="307" t="s">
        <v>12</v>
      </c>
      <c r="C57" s="328"/>
      <c r="D57" s="59" t="s">
        <v>116</v>
      </c>
      <c r="E57" s="194"/>
      <c r="F57" s="65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5"/>
      <c r="R57" s="65"/>
      <c r="S57" s="65"/>
      <c r="T57" s="65"/>
      <c r="U57" s="65"/>
      <c r="V57" s="65"/>
      <c r="W57" s="65"/>
      <c r="X57" s="66"/>
      <c r="Y57" s="66"/>
      <c r="Z57" s="66"/>
      <c r="AA57" s="66"/>
      <c r="AB57" s="66"/>
      <c r="AC57" s="66"/>
      <c r="AD57" s="66"/>
      <c r="AE57" s="66"/>
    </row>
    <row r="58" spans="1:31" ht="15.75" customHeight="1" x14ac:dyDescent="0.25">
      <c r="A58" s="306"/>
      <c r="B58" s="306"/>
      <c r="C58" s="309"/>
      <c r="D58" s="59" t="s">
        <v>117</v>
      </c>
      <c r="E58" s="198"/>
      <c r="F58" s="63"/>
      <c r="G58" s="62"/>
      <c r="H58" s="63"/>
      <c r="I58" s="63"/>
      <c r="J58" s="63"/>
      <c r="K58" s="63"/>
      <c r="L58" s="63"/>
      <c r="M58" s="63"/>
      <c r="N58" s="63"/>
      <c r="O58" s="63"/>
      <c r="P58" s="63"/>
      <c r="Q58" s="68"/>
      <c r="R58" s="68"/>
      <c r="S58" s="68"/>
      <c r="T58" s="68"/>
      <c r="U58" s="68"/>
      <c r="V58" s="68"/>
      <c r="W58" s="68"/>
      <c r="X58" s="70"/>
      <c r="Y58" s="70"/>
      <c r="Z58" s="70"/>
      <c r="AA58" s="70"/>
      <c r="AB58" s="70"/>
      <c r="AC58" s="70"/>
      <c r="AD58" s="70"/>
      <c r="AE58" s="70"/>
    </row>
    <row r="59" spans="1:31" ht="15.75" customHeight="1" x14ac:dyDescent="0.25">
      <c r="A59" s="307" t="s">
        <v>122</v>
      </c>
      <c r="B59" s="307" t="s">
        <v>12</v>
      </c>
      <c r="C59" s="328"/>
      <c r="D59" s="59" t="s">
        <v>116</v>
      </c>
      <c r="E59" s="199"/>
      <c r="F59" s="60"/>
      <c r="G59" s="60"/>
      <c r="H59" s="60"/>
      <c r="I59" s="60"/>
      <c r="J59" s="60"/>
      <c r="K59" s="60"/>
      <c r="L59" s="60"/>
      <c r="M59" s="60"/>
      <c r="N59" s="60"/>
      <c r="O59" s="65"/>
      <c r="P59" s="65"/>
      <c r="Q59" s="65"/>
      <c r="R59" s="65"/>
      <c r="S59" s="65"/>
      <c r="T59" s="65"/>
      <c r="U59" s="65"/>
      <c r="V59" s="65"/>
      <c r="W59" s="65"/>
      <c r="X59" s="66"/>
      <c r="Y59" s="66"/>
      <c r="Z59" s="66"/>
      <c r="AA59" s="66"/>
      <c r="AB59" s="66"/>
      <c r="AC59" s="66"/>
      <c r="AD59" s="66"/>
      <c r="AE59" s="66"/>
    </row>
    <row r="60" spans="1:31" ht="15.75" customHeight="1" x14ac:dyDescent="0.25">
      <c r="A60" s="311"/>
      <c r="B60" s="306"/>
      <c r="C60" s="309"/>
      <c r="D60" s="59" t="s">
        <v>117</v>
      </c>
      <c r="E60" s="200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9"/>
      <c r="Y60" s="69"/>
      <c r="Z60" s="69"/>
      <c r="AA60" s="69"/>
      <c r="AB60" s="69"/>
      <c r="AC60" s="69"/>
      <c r="AD60" s="69"/>
      <c r="AE60" s="69"/>
    </row>
    <row r="61" spans="1:31" ht="15.75" customHeight="1" x14ac:dyDescent="0.25">
      <c r="A61" s="307" t="s">
        <v>123</v>
      </c>
      <c r="B61" s="323">
        <v>0.5</v>
      </c>
      <c r="C61" s="329"/>
      <c r="D61" s="130" t="s">
        <v>116</v>
      </c>
      <c r="E61" s="196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2"/>
      <c r="AB61" s="131"/>
      <c r="AC61" s="131"/>
      <c r="AD61" s="131"/>
      <c r="AE61" s="131"/>
    </row>
    <row r="62" spans="1:31" ht="15.75" customHeight="1" x14ac:dyDescent="0.25">
      <c r="A62" s="306"/>
      <c r="B62" s="321"/>
      <c r="C62" s="321"/>
      <c r="D62" s="130" t="s">
        <v>117</v>
      </c>
      <c r="E62" s="197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5"/>
      <c r="AB62" s="134"/>
      <c r="AC62" s="134"/>
      <c r="AD62" s="134"/>
      <c r="AE62" s="134"/>
    </row>
    <row r="63" spans="1:31" ht="15.75" customHeight="1" x14ac:dyDescent="0.25">
      <c r="A63" s="19" t="s">
        <v>124</v>
      </c>
      <c r="B63" s="56"/>
      <c r="C63" s="56"/>
      <c r="D63" s="57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58"/>
      <c r="AE63" s="58"/>
    </row>
    <row r="64" spans="1:31" ht="15.75" customHeight="1" x14ac:dyDescent="0.25">
      <c r="A64" s="307" t="s">
        <v>125</v>
      </c>
      <c r="B64" s="307" t="s">
        <v>12</v>
      </c>
      <c r="C64" s="328"/>
      <c r="D64" s="59" t="s">
        <v>116</v>
      </c>
      <c r="E64" s="199"/>
      <c r="F64" s="60"/>
      <c r="G64" s="60"/>
      <c r="H64" s="60"/>
      <c r="I64" s="60"/>
      <c r="J64" s="60"/>
      <c r="K64" s="60"/>
      <c r="L64" s="60"/>
      <c r="M64" s="60"/>
      <c r="N64" s="60"/>
      <c r="O64" s="65"/>
      <c r="P64" s="65"/>
      <c r="Q64" s="65"/>
      <c r="R64" s="65"/>
      <c r="S64" s="65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</row>
    <row r="65" spans="1:34" ht="15.75" customHeight="1" x14ac:dyDescent="0.25">
      <c r="A65" s="306"/>
      <c r="B65" s="311"/>
      <c r="C65" s="309"/>
      <c r="D65" s="59" t="s">
        <v>117</v>
      </c>
      <c r="E65" s="195"/>
      <c r="F65" s="63"/>
      <c r="G65" s="63"/>
      <c r="H65" s="63"/>
      <c r="I65" s="63"/>
      <c r="J65" s="63"/>
      <c r="K65" s="63"/>
      <c r="L65" s="63"/>
      <c r="M65" s="63"/>
      <c r="N65" s="63"/>
      <c r="O65" s="68"/>
      <c r="P65" s="68"/>
      <c r="Q65" s="63"/>
      <c r="R65" s="63"/>
      <c r="S65" s="63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</row>
    <row r="66" spans="1:34" ht="15.75" customHeight="1" x14ac:dyDescent="0.25">
      <c r="A66" s="19" t="s">
        <v>126</v>
      </c>
      <c r="B66" s="56"/>
      <c r="C66" s="56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8"/>
      <c r="AE66" s="58"/>
    </row>
    <row r="67" spans="1:34" ht="15.75" customHeight="1" x14ac:dyDescent="0.25">
      <c r="A67" s="307" t="s">
        <v>127</v>
      </c>
      <c r="B67" s="307" t="s">
        <v>12</v>
      </c>
      <c r="C67" s="329"/>
      <c r="D67" s="59" t="s">
        <v>116</v>
      </c>
      <c r="E67" s="196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2"/>
      <c r="AB67" s="131"/>
      <c r="AC67" s="131"/>
      <c r="AD67" s="131"/>
      <c r="AE67" s="131"/>
    </row>
    <row r="68" spans="1:34" ht="15.75" customHeight="1" x14ac:dyDescent="0.25">
      <c r="A68" s="306"/>
      <c r="B68" s="306"/>
      <c r="C68" s="321"/>
      <c r="D68" s="59" t="s">
        <v>117</v>
      </c>
      <c r="E68" s="197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5"/>
      <c r="AB68" s="134"/>
      <c r="AC68" s="134"/>
      <c r="AD68" s="134"/>
      <c r="AE68" s="134"/>
      <c r="AF68" s="134"/>
      <c r="AG68" s="134"/>
      <c r="AH68" s="134"/>
    </row>
    <row r="69" spans="1:34" ht="15.75" customHeight="1" x14ac:dyDescent="0.25"/>
    <row r="70" spans="1:34" ht="15.75" customHeight="1" x14ac:dyDescent="0.25">
      <c r="A70" s="137" t="s">
        <v>285</v>
      </c>
      <c r="B70" s="14" t="s">
        <v>8</v>
      </c>
      <c r="C70" s="189"/>
      <c r="D70" s="44" t="s">
        <v>286</v>
      </c>
    </row>
    <row r="71" spans="1:34" ht="15.75" customHeight="1" x14ac:dyDescent="0.25"/>
    <row r="72" spans="1:34" ht="15.75" customHeight="1" x14ac:dyDescent="0.25">
      <c r="A72" s="325" t="s">
        <v>287</v>
      </c>
      <c r="B72" s="326"/>
      <c r="C72" s="327"/>
    </row>
    <row r="73" spans="1:34" ht="15.75" customHeight="1" x14ac:dyDescent="0.25">
      <c r="A73" s="137" t="s">
        <v>288</v>
      </c>
      <c r="B73" s="14" t="s">
        <v>8</v>
      </c>
      <c r="C73" s="201"/>
    </row>
    <row r="74" spans="1:34" ht="15.75" customHeight="1" x14ac:dyDescent="0.25">
      <c r="A74" s="139" t="s">
        <v>289</v>
      </c>
      <c r="B74" s="14" t="s">
        <v>8</v>
      </c>
      <c r="C74" s="189"/>
    </row>
    <row r="75" spans="1:34" ht="15.75" customHeight="1" x14ac:dyDescent="0.25">
      <c r="A75" s="139" t="s">
        <v>290</v>
      </c>
      <c r="B75" s="14" t="s">
        <v>8</v>
      </c>
      <c r="C75" s="189"/>
      <c r="D75" s="44" t="s">
        <v>291</v>
      </c>
    </row>
    <row r="76" spans="1:34" ht="15.75" customHeight="1" x14ac:dyDescent="0.25">
      <c r="G76" s="30"/>
    </row>
    <row r="77" spans="1:34" ht="15.75" customHeight="1" x14ac:dyDescent="0.25"/>
    <row r="78" spans="1:34" ht="15.75" customHeight="1" x14ac:dyDescent="0.25">
      <c r="A78" s="314" t="s">
        <v>128</v>
      </c>
      <c r="B78" s="315"/>
      <c r="C78" s="317"/>
      <c r="E78" s="314" t="s">
        <v>129</v>
      </c>
      <c r="F78" s="315"/>
      <c r="G78" s="316"/>
    </row>
    <row r="79" spans="1:34" ht="15.75" customHeight="1" x14ac:dyDescent="0.25">
      <c r="A79" s="73" t="s">
        <v>130</v>
      </c>
      <c r="B79" s="60" t="s">
        <v>131</v>
      </c>
      <c r="C79" s="202"/>
      <c r="E79" s="59" t="s">
        <v>132</v>
      </c>
      <c r="F79" s="72" t="s">
        <v>80</v>
      </c>
      <c r="G79" s="203"/>
    </row>
    <row r="80" spans="1:34" ht="15.75" customHeight="1" x14ac:dyDescent="0.25">
      <c r="A80" s="73" t="s">
        <v>133</v>
      </c>
      <c r="B80" s="60" t="s">
        <v>134</v>
      </c>
      <c r="C80" s="202"/>
      <c r="E80" s="59" t="s">
        <v>135</v>
      </c>
      <c r="F80" s="72" t="s">
        <v>80</v>
      </c>
      <c r="G80" s="203"/>
    </row>
    <row r="81" spans="1:7" ht="15.75" customHeight="1" x14ac:dyDescent="0.25">
      <c r="A81" s="73" t="s">
        <v>136</v>
      </c>
      <c r="B81" s="60" t="s">
        <v>134</v>
      </c>
      <c r="C81" s="202"/>
      <c r="E81" s="59" t="s">
        <v>137</v>
      </c>
      <c r="F81" s="72" t="s">
        <v>80</v>
      </c>
      <c r="G81" s="203"/>
    </row>
    <row r="82" spans="1:7" ht="15.75" customHeight="1" x14ac:dyDescent="0.25">
      <c r="A82" s="73" t="s">
        <v>138</v>
      </c>
      <c r="B82" s="60" t="s">
        <v>134</v>
      </c>
      <c r="C82" s="202"/>
      <c r="E82" s="59" t="s">
        <v>139</v>
      </c>
      <c r="F82" s="72" t="s">
        <v>80</v>
      </c>
      <c r="G82" s="203"/>
    </row>
    <row r="83" spans="1:7" ht="15.75" customHeight="1" x14ac:dyDescent="0.25">
      <c r="A83" s="59" t="s">
        <v>140</v>
      </c>
      <c r="B83" s="60" t="s">
        <v>131</v>
      </c>
      <c r="C83" s="204">
        <v>8.9999999999999993E-3</v>
      </c>
      <c r="E83" s="59" t="s">
        <v>141</v>
      </c>
      <c r="F83" s="72" t="s">
        <v>80</v>
      </c>
      <c r="G83" s="203"/>
    </row>
    <row r="84" spans="1:7" ht="15.75" customHeight="1" x14ac:dyDescent="0.25">
      <c r="A84" s="59" t="s">
        <v>142</v>
      </c>
      <c r="B84" s="60" t="s">
        <v>131</v>
      </c>
      <c r="C84" s="202"/>
      <c r="E84" s="59" t="s">
        <v>143</v>
      </c>
      <c r="F84" s="72" t="s">
        <v>80</v>
      </c>
      <c r="G84" s="203"/>
    </row>
    <row r="85" spans="1:7" ht="15.75" customHeight="1" x14ac:dyDescent="0.25">
      <c r="A85" s="59" t="s">
        <v>144</v>
      </c>
      <c r="B85" s="60" t="s">
        <v>131</v>
      </c>
      <c r="C85" s="202"/>
    </row>
    <row r="86" spans="1:7" ht="15.75" customHeight="1" x14ac:dyDescent="0.25">
      <c r="A86" s="59" t="s">
        <v>145</v>
      </c>
      <c r="B86" s="60" t="s">
        <v>131</v>
      </c>
      <c r="C86" s="202"/>
    </row>
    <row r="87" spans="1:7" ht="15.75" customHeight="1" x14ac:dyDescent="0.25">
      <c r="A87" s="59" t="s">
        <v>146</v>
      </c>
      <c r="B87" s="60" t="s">
        <v>131</v>
      </c>
      <c r="C87" s="204">
        <v>0.24</v>
      </c>
    </row>
    <row r="88" spans="1:7" ht="15.75" customHeight="1" x14ac:dyDescent="0.25">
      <c r="A88" s="59" t="s">
        <v>147</v>
      </c>
      <c r="B88" s="60" t="s">
        <v>131</v>
      </c>
      <c r="C88" s="202"/>
    </row>
    <row r="89" spans="1:7" ht="15.75" customHeight="1" x14ac:dyDescent="0.25">
      <c r="A89" s="59" t="s">
        <v>148</v>
      </c>
      <c r="B89" s="60" t="s">
        <v>131</v>
      </c>
      <c r="C89" s="202"/>
    </row>
    <row r="90" spans="1:7" ht="15.75" customHeight="1" x14ac:dyDescent="0.25">
      <c r="A90" s="59" t="s">
        <v>149</v>
      </c>
      <c r="B90" s="60" t="s">
        <v>131</v>
      </c>
      <c r="C90" s="202"/>
    </row>
    <row r="91" spans="1:7" ht="15.75" customHeight="1" x14ac:dyDescent="0.25">
      <c r="A91" s="59" t="s">
        <v>150</v>
      </c>
      <c r="B91" s="72" t="s">
        <v>134</v>
      </c>
      <c r="C91" s="202"/>
    </row>
    <row r="92" spans="1:7" ht="15.75" customHeight="1" x14ac:dyDescent="0.25">
      <c r="A92" s="59" t="s">
        <v>151</v>
      </c>
      <c r="B92" s="72" t="s">
        <v>134</v>
      </c>
      <c r="C92" s="202"/>
    </row>
    <row r="93" spans="1:7" ht="15.75" customHeight="1" x14ac:dyDescent="0.25">
      <c r="A93" s="59" t="s">
        <v>152</v>
      </c>
      <c r="B93" s="72" t="s">
        <v>134</v>
      </c>
      <c r="C93" s="202"/>
    </row>
    <row r="94" spans="1:7" ht="15.75" customHeight="1" x14ac:dyDescent="0.25">
      <c r="A94" s="59" t="s">
        <v>153</v>
      </c>
      <c r="B94" s="72" t="s">
        <v>134</v>
      </c>
      <c r="C94" s="202"/>
    </row>
    <row r="95" spans="1:7" ht="15.75" customHeight="1" x14ac:dyDescent="0.25">
      <c r="A95" s="59" t="s">
        <v>154</v>
      </c>
      <c r="B95" s="72" t="s">
        <v>134</v>
      </c>
      <c r="C95" s="202"/>
    </row>
    <row r="96" spans="1:7" ht="15.75" customHeight="1" x14ac:dyDescent="0.25">
      <c r="A96" s="59" t="s">
        <v>155</v>
      </c>
      <c r="B96" s="72" t="s">
        <v>134</v>
      </c>
      <c r="C96" s="202"/>
    </row>
    <row r="97" spans="1:26" ht="15.75" customHeight="1" x14ac:dyDescent="0.25"/>
    <row r="98" spans="1:26" ht="15.75" customHeight="1" x14ac:dyDescent="0.25"/>
    <row r="99" spans="1:26" ht="15.75" customHeight="1" x14ac:dyDescent="0.25">
      <c r="A99" s="314" t="s">
        <v>30</v>
      </c>
      <c r="B99" s="317"/>
      <c r="C99" s="13">
        <v>1995</v>
      </c>
      <c r="D99" s="13">
        <v>1996</v>
      </c>
      <c r="E99" s="13">
        <v>1997</v>
      </c>
      <c r="F99" s="13">
        <v>1998</v>
      </c>
      <c r="G99" s="13">
        <v>1999</v>
      </c>
      <c r="H99" s="13">
        <v>2000</v>
      </c>
      <c r="I99" s="13">
        <v>2001</v>
      </c>
      <c r="J99" s="13">
        <v>2002</v>
      </c>
      <c r="K99" s="13">
        <v>2003</v>
      </c>
      <c r="L99" s="13">
        <v>2004</v>
      </c>
      <c r="M99" s="13">
        <v>2005</v>
      </c>
      <c r="N99" s="13">
        <v>2006</v>
      </c>
      <c r="O99" s="13">
        <v>2007</v>
      </c>
      <c r="P99" s="13">
        <v>2008</v>
      </c>
      <c r="Q99" s="13">
        <v>2009</v>
      </c>
      <c r="R99" s="13">
        <v>2010</v>
      </c>
      <c r="S99" s="13">
        <v>2011</v>
      </c>
      <c r="T99" s="13">
        <v>2012</v>
      </c>
      <c r="U99" s="13">
        <v>2013</v>
      </c>
      <c r="V99" s="13">
        <v>2014</v>
      </c>
      <c r="W99" s="13">
        <v>2015</v>
      </c>
    </row>
    <row r="100" spans="1:26" ht="15.75" customHeight="1" x14ac:dyDescent="0.25">
      <c r="A100" s="140" t="s">
        <v>157</v>
      </c>
      <c r="B100" s="13" t="s">
        <v>8</v>
      </c>
      <c r="C100" s="186">
        <v>0.87675194217077002</v>
      </c>
      <c r="D100" s="14">
        <v>0.85086856996795801</v>
      </c>
      <c r="E100" s="14">
        <v>0.84070761245302394</v>
      </c>
      <c r="F100" s="14">
        <v>0.84357257533065899</v>
      </c>
      <c r="G100" s="14">
        <v>0.82669432901456197</v>
      </c>
      <c r="H100" s="14">
        <v>0.84856130501422999</v>
      </c>
      <c r="I100" s="14">
        <v>0.84375544022096605</v>
      </c>
      <c r="J100" s="14">
        <v>0.85018180922456299</v>
      </c>
      <c r="K100" s="14">
        <v>0.79739244608827897</v>
      </c>
      <c r="L100" s="14">
        <v>0.80758860201681704</v>
      </c>
      <c r="M100" s="14">
        <v>0.80005633646598795</v>
      </c>
      <c r="N100" s="14">
        <v>0.79143990919359297</v>
      </c>
      <c r="O100" s="14">
        <v>0.79548297816809899</v>
      </c>
      <c r="P100" s="14">
        <v>0.81186045032402798</v>
      </c>
      <c r="Q100" s="14">
        <v>0.80216825443972295</v>
      </c>
      <c r="R100" s="14">
        <v>0.81389918027987496</v>
      </c>
      <c r="S100" s="14">
        <v>0.78874426584839097</v>
      </c>
      <c r="T100" s="14">
        <v>0.815314148847054</v>
      </c>
      <c r="U100" s="14">
        <v>0.80076133144890305</v>
      </c>
      <c r="V100" s="14">
        <v>0.80031307934995299</v>
      </c>
      <c r="W100" s="14">
        <v>0.80297733091458501</v>
      </c>
    </row>
    <row r="101" spans="1:26" ht="15.75" customHeight="1" x14ac:dyDescent="0.25">
      <c r="A101" s="140" t="s">
        <v>158</v>
      </c>
      <c r="B101" s="13" t="s">
        <v>8</v>
      </c>
      <c r="C101" s="186">
        <v>0.31644197448309802</v>
      </c>
      <c r="D101" s="14">
        <v>0.322548886662268</v>
      </c>
      <c r="E101" s="14">
        <v>0.34590101803795398</v>
      </c>
      <c r="F101" s="14">
        <v>0.34258539129500198</v>
      </c>
      <c r="G101" s="14">
        <v>0.35381538245095301</v>
      </c>
      <c r="H101" s="14">
        <v>0.37509288744978903</v>
      </c>
      <c r="I101" s="14">
        <v>0.384548125060721</v>
      </c>
      <c r="J101" s="14">
        <v>0.375187565980727</v>
      </c>
      <c r="K101" s="14">
        <v>0.381231641543956</v>
      </c>
      <c r="L101" s="14">
        <v>0.39070700382962897</v>
      </c>
      <c r="M101" s="14">
        <v>0.40885817241338601</v>
      </c>
      <c r="N101" s="14">
        <v>0.40653191792040899</v>
      </c>
      <c r="O101" s="14">
        <v>0.41404433499327098</v>
      </c>
      <c r="P101" s="14">
        <v>0.416056273901527</v>
      </c>
      <c r="Q101" s="14">
        <v>0.42419990767645299</v>
      </c>
      <c r="R101" s="14">
        <v>0.42425776188888398</v>
      </c>
      <c r="S101" s="14">
        <v>0.42650575651474198</v>
      </c>
      <c r="T101" s="14">
        <v>0.43704327471509502</v>
      </c>
      <c r="U101" s="14">
        <v>0.44403109814772401</v>
      </c>
      <c r="V101" s="14">
        <v>0.44225694213266697</v>
      </c>
      <c r="W101" s="14">
        <v>0.45116700758481398</v>
      </c>
    </row>
    <row r="102" spans="1:26" ht="15.75" customHeight="1" x14ac:dyDescent="0.25">
      <c r="A102" s="140" t="s">
        <v>159</v>
      </c>
      <c r="B102" s="13" t="s">
        <v>8</v>
      </c>
      <c r="C102" s="186">
        <v>0.33536923509845001</v>
      </c>
      <c r="D102" s="14">
        <v>0.323294931245037</v>
      </c>
      <c r="E102" s="14">
        <v>0.31714964797246498</v>
      </c>
      <c r="F102" s="14">
        <v>0.35351857960351901</v>
      </c>
      <c r="G102" s="14">
        <v>0.30987725259552301</v>
      </c>
      <c r="H102" s="14">
        <v>0.30445315465398898</v>
      </c>
      <c r="I102" s="14">
        <v>0.35110379718726198</v>
      </c>
      <c r="J102" s="14">
        <v>0.33566058357657702</v>
      </c>
      <c r="K102" s="14">
        <v>0.28928045340567698</v>
      </c>
      <c r="L102" s="14">
        <v>0.32704068247258</v>
      </c>
      <c r="M102" s="14">
        <v>0.31422681451330398</v>
      </c>
      <c r="N102" s="14">
        <v>0.30706259468073599</v>
      </c>
      <c r="O102" s="14">
        <v>0.29235437759899502</v>
      </c>
      <c r="P102" s="14">
        <v>0.28782592453962003</v>
      </c>
      <c r="Q102" s="14">
        <v>0.282907975724425</v>
      </c>
      <c r="R102" s="14">
        <v>0.29038259279371997</v>
      </c>
      <c r="S102" s="14">
        <v>0.29541452488994502</v>
      </c>
      <c r="T102" s="14">
        <v>0.28331766749461201</v>
      </c>
      <c r="U102" s="14">
        <v>0.29381219064948799</v>
      </c>
      <c r="V102" s="14">
        <v>0.29137802362662102</v>
      </c>
      <c r="W102" s="14">
        <v>0.28090757837303698</v>
      </c>
    </row>
    <row r="103" spans="1:26" ht="15.75" customHeight="1" x14ac:dyDescent="0.25">
      <c r="A103" s="140" t="s">
        <v>160</v>
      </c>
      <c r="B103" s="13" t="s">
        <v>8</v>
      </c>
      <c r="C103" s="186">
        <v>0.78242606854414598</v>
      </c>
      <c r="D103" s="14">
        <v>0.78970178335195396</v>
      </c>
      <c r="E103" s="14">
        <v>0.80151301778964401</v>
      </c>
      <c r="F103" s="14">
        <v>0.81120215550957397</v>
      </c>
      <c r="G103" s="14">
        <v>0.813147077606996</v>
      </c>
      <c r="H103" s="14">
        <v>0.81064620228767703</v>
      </c>
      <c r="I103" s="14">
        <v>0.81226411540795496</v>
      </c>
      <c r="J103" s="14">
        <v>0.80598024449879502</v>
      </c>
      <c r="K103" s="14">
        <v>0.67693890852157601</v>
      </c>
      <c r="L103" s="14">
        <v>0.66779488001534104</v>
      </c>
      <c r="M103" s="14">
        <v>0.78217560387496399</v>
      </c>
      <c r="N103" s="14">
        <v>0.76997454312417002</v>
      </c>
      <c r="O103" s="14">
        <v>0.75843437231423505</v>
      </c>
      <c r="P103" s="14">
        <v>0.78344684232148498</v>
      </c>
      <c r="Q103" s="14">
        <v>0.78918042156089996</v>
      </c>
      <c r="R103" s="14">
        <v>0.778311084073394</v>
      </c>
      <c r="S103" s="14">
        <v>0.75356013012824197</v>
      </c>
      <c r="T103" s="14">
        <v>0.76040480466471905</v>
      </c>
      <c r="U103" s="14">
        <v>0.80119165665406</v>
      </c>
      <c r="V103" s="14">
        <v>0.810097253544806</v>
      </c>
      <c r="W103" s="14">
        <v>0.80703252526595803</v>
      </c>
    </row>
    <row r="104" spans="1:26" ht="15.75" customHeight="1" x14ac:dyDescent="0.25">
      <c r="A104" s="140" t="s">
        <v>161</v>
      </c>
      <c r="B104" s="13" t="s">
        <v>8</v>
      </c>
      <c r="C104" s="186">
        <v>0.288939711937651</v>
      </c>
      <c r="D104" s="14">
        <v>0.290843178627057</v>
      </c>
      <c r="E104" s="14">
        <v>0.29215368476727399</v>
      </c>
      <c r="F104" s="14">
        <v>0.29094969966454298</v>
      </c>
      <c r="G104" s="14">
        <v>0.29633044067585801</v>
      </c>
      <c r="H104" s="14">
        <v>0.30118466637754199</v>
      </c>
      <c r="I104" s="14">
        <v>0.30537004304081899</v>
      </c>
      <c r="J104" s="14">
        <v>0.31064970248706297</v>
      </c>
      <c r="K104" s="14">
        <v>0.32186301886726398</v>
      </c>
      <c r="L104" s="14">
        <v>0.31653593537090102</v>
      </c>
      <c r="M104" s="14">
        <v>0.31518864768409199</v>
      </c>
      <c r="N104" s="14">
        <v>0.32117038354327798</v>
      </c>
      <c r="O104" s="14">
        <v>0.318974943144268</v>
      </c>
      <c r="P104" s="14">
        <v>0.31680104849295898</v>
      </c>
      <c r="Q104" s="14">
        <v>0.31701811565879401</v>
      </c>
      <c r="R104" s="14">
        <v>0.31938718049369302</v>
      </c>
      <c r="S104" s="14">
        <v>0.32211259237862999</v>
      </c>
      <c r="T104" s="14">
        <v>0.31929327932837698</v>
      </c>
      <c r="U104" s="14">
        <v>0.32243028136617702</v>
      </c>
      <c r="V104" s="14">
        <v>0.32424974097475201</v>
      </c>
      <c r="W104" s="14">
        <v>0.32796034612043601</v>
      </c>
    </row>
    <row r="105" spans="1:26" ht="15.75" customHeight="1" x14ac:dyDescent="0.25">
      <c r="A105" s="140" t="s">
        <v>162</v>
      </c>
      <c r="B105" s="13" t="s">
        <v>8</v>
      </c>
      <c r="C105" s="186">
        <v>0.241705086022696</v>
      </c>
      <c r="D105" s="14">
        <v>0.245262672943421</v>
      </c>
      <c r="E105" s="14">
        <v>0.25133903645233902</v>
      </c>
      <c r="F105" s="14">
        <v>0.26066393388872899</v>
      </c>
      <c r="G105" s="14">
        <v>0.26280810730593102</v>
      </c>
      <c r="H105" s="14">
        <v>0.25031637224788</v>
      </c>
      <c r="I105" s="14">
        <v>0.24481599615380001</v>
      </c>
      <c r="J105" s="14">
        <v>0.23720009667238001</v>
      </c>
      <c r="K105" s="14">
        <v>0.22928093664511101</v>
      </c>
      <c r="L105" s="14">
        <v>0.24183339802470499</v>
      </c>
      <c r="M105" s="14">
        <v>0.23774485602738801</v>
      </c>
      <c r="N105" s="14">
        <v>0.22829235706589099</v>
      </c>
      <c r="O105" s="14">
        <v>0.225161741461151</v>
      </c>
      <c r="P105" s="14">
        <v>0.22841600026014899</v>
      </c>
      <c r="Q105" s="14">
        <v>0.225156650381232</v>
      </c>
      <c r="R105" s="14">
        <v>0.21463870612143199</v>
      </c>
      <c r="S105" s="14">
        <v>0.200944922186166</v>
      </c>
      <c r="T105" s="14">
        <v>0.208262339506642</v>
      </c>
      <c r="U105" s="14">
        <v>0.21173823367754299</v>
      </c>
      <c r="V105" s="14">
        <v>0.19892998853159699</v>
      </c>
      <c r="W105" s="14">
        <v>0.20277646636163599</v>
      </c>
    </row>
    <row r="106" spans="1:26" ht="15.75" customHeight="1" x14ac:dyDescent="0.25">
      <c r="A106" s="140" t="s">
        <v>163</v>
      </c>
      <c r="B106" s="13" t="s">
        <v>8</v>
      </c>
      <c r="C106" s="186">
        <v>0.82018993182544198</v>
      </c>
      <c r="D106" s="14">
        <v>0.81580872466999599</v>
      </c>
      <c r="E106" s="14">
        <v>0.73575675875046798</v>
      </c>
      <c r="F106" s="14">
        <v>0.81726893765612296</v>
      </c>
      <c r="G106" s="14">
        <v>0.81054395403919999</v>
      </c>
      <c r="H106" s="14">
        <v>0.77772942078047602</v>
      </c>
      <c r="I106" s="14">
        <v>0.81997162892333997</v>
      </c>
      <c r="J106" s="14">
        <v>0.74840163668559201</v>
      </c>
      <c r="K106" s="14">
        <v>0.850803668935038</v>
      </c>
      <c r="L106" s="14">
        <v>0.78930616419650301</v>
      </c>
      <c r="M106" s="14">
        <v>0.81272240947112795</v>
      </c>
      <c r="N106" s="14">
        <v>0.82817602800281498</v>
      </c>
      <c r="O106" s="14">
        <v>0.82632699455129399</v>
      </c>
      <c r="P106" s="14">
        <v>0.81186038843981301</v>
      </c>
      <c r="Q106" s="14">
        <v>0.81413956561306</v>
      </c>
      <c r="R106" s="14">
        <v>0.82154349953685302</v>
      </c>
      <c r="S106" s="14">
        <v>0.79788411959771099</v>
      </c>
      <c r="T106" s="14">
        <v>0.80251721551121802</v>
      </c>
      <c r="U106" s="14">
        <v>0.81707337833317795</v>
      </c>
      <c r="V106" s="14">
        <v>0.70874743902204895</v>
      </c>
      <c r="W106" s="14">
        <v>0.80251756070729696</v>
      </c>
      <c r="Y106" s="79"/>
    </row>
    <row r="107" spans="1:26" ht="15.75" customHeight="1" x14ac:dyDescent="0.25">
      <c r="A107" s="140" t="s">
        <v>164</v>
      </c>
      <c r="B107" s="13" t="s">
        <v>8</v>
      </c>
      <c r="C107" s="186">
        <v>0.30585263489285502</v>
      </c>
      <c r="D107" s="14">
        <v>0.32162155959953398</v>
      </c>
      <c r="E107" s="14">
        <v>0.33700716630028499</v>
      </c>
      <c r="F107" s="14">
        <v>0.35840234432261497</v>
      </c>
      <c r="G107" s="14">
        <v>0.36426862824508499</v>
      </c>
      <c r="H107" s="14">
        <v>0.40968129109423002</v>
      </c>
      <c r="I107" s="14">
        <v>0.37862651942431103</v>
      </c>
      <c r="J107" s="14">
        <v>0.41977109922304501</v>
      </c>
      <c r="K107" s="14">
        <v>0.34103743884033899</v>
      </c>
      <c r="L107" s="14">
        <v>0.35445240913988801</v>
      </c>
      <c r="M107" s="14">
        <v>0.33585260916422799</v>
      </c>
      <c r="N107" s="14">
        <v>0.31947125804196203</v>
      </c>
      <c r="O107" s="14">
        <v>0.30631610680971</v>
      </c>
      <c r="P107" s="14">
        <v>0.30261194993176299</v>
      </c>
      <c r="Q107" s="14">
        <v>0.30434044639741997</v>
      </c>
      <c r="R107" s="14">
        <v>0.284125504884574</v>
      </c>
      <c r="S107" s="14">
        <v>0.28424314922969302</v>
      </c>
      <c r="T107" s="14">
        <v>0.305208300231818</v>
      </c>
      <c r="U107" s="14">
        <v>0.29286295340930402</v>
      </c>
      <c r="V107" s="14">
        <v>0.30397959658425799</v>
      </c>
      <c r="W107" s="14">
        <v>0.28572156842645102</v>
      </c>
    </row>
    <row r="108" spans="1:26" ht="15.75" customHeight="1" x14ac:dyDescent="0.25">
      <c r="A108" s="140" t="s">
        <v>165</v>
      </c>
      <c r="B108" s="13" t="s">
        <v>8</v>
      </c>
      <c r="C108" s="186">
        <v>0.391663767533449</v>
      </c>
      <c r="D108" s="14">
        <v>0.39540118621190301</v>
      </c>
      <c r="E108" s="14">
        <v>0.34405217602980498</v>
      </c>
      <c r="F108" s="14">
        <v>0.354676675494706</v>
      </c>
      <c r="G108" s="14">
        <v>0.30613228183062802</v>
      </c>
      <c r="H108" s="14">
        <v>0.32158595439073001</v>
      </c>
      <c r="I108" s="14">
        <v>0.32605779023213899</v>
      </c>
      <c r="J108" s="14">
        <v>0.27970926530433898</v>
      </c>
      <c r="K108" s="14">
        <v>0.183511718676483</v>
      </c>
      <c r="L108" s="14">
        <v>0.28807321911197398</v>
      </c>
      <c r="M108" s="14">
        <v>0.28062616997135797</v>
      </c>
      <c r="N108" s="14">
        <v>0.29666225467524698</v>
      </c>
      <c r="O108" s="14">
        <v>0.27139869077641299</v>
      </c>
      <c r="P108" s="14">
        <v>0.25685535286030597</v>
      </c>
      <c r="Q108" s="14">
        <v>0.316164557753352</v>
      </c>
      <c r="R108" s="14">
        <v>0.28582328325678502</v>
      </c>
      <c r="S108" s="14">
        <v>0.27229690129527201</v>
      </c>
      <c r="T108" s="14">
        <v>0.234963633275175</v>
      </c>
      <c r="U108" s="14">
        <v>0.26981180322347098</v>
      </c>
      <c r="V108" s="14">
        <v>0.240124466860756</v>
      </c>
      <c r="W108" s="14">
        <v>0.221638959649581</v>
      </c>
    </row>
    <row r="109" spans="1:26" ht="15.75" customHeight="1" x14ac:dyDescent="0.25">
      <c r="A109" s="140" t="s">
        <v>166</v>
      </c>
      <c r="B109" s="13" t="s">
        <v>167</v>
      </c>
      <c r="C109" s="205">
        <v>43.32</v>
      </c>
      <c r="D109" s="78">
        <v>43.78</v>
      </c>
      <c r="E109" s="78">
        <v>45.61</v>
      </c>
      <c r="F109" s="78">
        <v>46.47</v>
      </c>
      <c r="G109" s="78">
        <v>47.63</v>
      </c>
      <c r="H109" s="78">
        <v>48.11</v>
      </c>
      <c r="I109" s="78">
        <v>47.98</v>
      </c>
      <c r="J109" s="78">
        <v>48.04</v>
      </c>
      <c r="K109" s="78">
        <v>50.24</v>
      </c>
      <c r="L109" s="78">
        <v>49.26</v>
      </c>
      <c r="M109" s="78">
        <v>49.86</v>
      </c>
      <c r="N109" s="78">
        <v>49.76</v>
      </c>
      <c r="O109" s="78">
        <v>51.27</v>
      </c>
      <c r="P109" s="78">
        <v>51.87</v>
      </c>
      <c r="Q109" s="78">
        <v>50.92</v>
      </c>
      <c r="R109" s="78">
        <v>50.23</v>
      </c>
      <c r="S109" s="78">
        <v>51.44</v>
      </c>
      <c r="T109" s="78">
        <v>51.36</v>
      </c>
      <c r="U109" s="78">
        <v>51.04</v>
      </c>
      <c r="V109" s="83">
        <v>51.11</v>
      </c>
      <c r="W109" s="78">
        <v>51.87</v>
      </c>
    </row>
    <row r="110" spans="1:26" ht="15.75" customHeight="1" x14ac:dyDescent="0.25">
      <c r="A110" s="140" t="s">
        <v>168</v>
      </c>
      <c r="B110" s="13" t="s">
        <v>8</v>
      </c>
      <c r="C110" s="186">
        <v>2.9113799999999999E-3</v>
      </c>
      <c r="D110" s="14">
        <v>2.8836199999999999E-3</v>
      </c>
      <c r="E110" s="14">
        <v>3.2693000000000002E-3</v>
      </c>
      <c r="F110" s="14">
        <v>2.8406199999999999E-3</v>
      </c>
      <c r="G110" s="14">
        <v>3.3656799999999998E-3</v>
      </c>
      <c r="H110" s="14">
        <v>3.4980300000000001E-3</v>
      </c>
      <c r="I110" s="14">
        <v>2.6304800000000001E-3</v>
      </c>
      <c r="J110" s="14">
        <v>2.2082E-3</v>
      </c>
      <c r="K110" s="14">
        <v>2.20929E-3</v>
      </c>
      <c r="L110" s="14">
        <v>1.9817799999999998E-3</v>
      </c>
      <c r="M110" s="14">
        <v>1.4687299999999999E-3</v>
      </c>
      <c r="N110" s="14">
        <v>1.31478E-3</v>
      </c>
      <c r="O110" s="14">
        <v>1.34534E-3</v>
      </c>
      <c r="P110" s="14">
        <v>1.6720400000000001E-3</v>
      </c>
      <c r="Q110" s="14">
        <v>6.1995599999999998E-3</v>
      </c>
      <c r="R110" s="14">
        <v>5.7698699999999999E-3</v>
      </c>
      <c r="S110" s="14">
        <v>5.7648500000000002E-3</v>
      </c>
      <c r="T110" s="14">
        <v>6.4333999999999997E-3</v>
      </c>
      <c r="U110" s="14">
        <v>5.9911399999999998E-3</v>
      </c>
      <c r="V110" s="14">
        <v>6.35653E-3</v>
      </c>
      <c r="W110" s="14">
        <v>6.01857E-3</v>
      </c>
    </row>
    <row r="111" spans="1:26" ht="15.75" customHeight="1" x14ac:dyDescent="0.25">
      <c r="A111" s="140" t="s">
        <v>169</v>
      </c>
      <c r="B111" s="13" t="s">
        <v>8</v>
      </c>
      <c r="C111" s="186">
        <v>0.14297779999999999</v>
      </c>
      <c r="D111" s="14">
        <v>0.15286124000000001</v>
      </c>
      <c r="E111" s="14">
        <v>0.15238097</v>
      </c>
      <c r="F111" s="14">
        <v>0.13973721</v>
      </c>
      <c r="G111" s="14">
        <v>0.11927611</v>
      </c>
      <c r="H111" s="14">
        <v>0.11006306</v>
      </c>
      <c r="I111" s="14">
        <v>0.13799202999999999</v>
      </c>
      <c r="J111" s="14">
        <v>0.14925711999999999</v>
      </c>
      <c r="K111" s="14">
        <v>0.15319434000000001</v>
      </c>
      <c r="L111" s="14">
        <v>0.13305805000000001</v>
      </c>
      <c r="M111" s="14">
        <v>0.11780897</v>
      </c>
      <c r="N111" s="14">
        <v>0.13935697</v>
      </c>
      <c r="O111" s="14">
        <v>0.15030289999999999</v>
      </c>
      <c r="P111" s="14">
        <v>0.13985126000000001</v>
      </c>
      <c r="Q111" s="14">
        <v>0.12727788000000001</v>
      </c>
      <c r="R111" s="14">
        <v>0.14471355999999999</v>
      </c>
      <c r="S111" s="14">
        <v>0.13228625999999999</v>
      </c>
      <c r="T111" s="14">
        <v>0.11551694999999999</v>
      </c>
      <c r="U111" s="14">
        <v>9.9496409999999993E-2</v>
      </c>
      <c r="V111" s="14">
        <v>0.10176733</v>
      </c>
      <c r="W111" s="14">
        <v>9.7669839999999994E-2</v>
      </c>
    </row>
    <row r="112" spans="1:26" ht="15.75" customHeight="1" x14ac:dyDescent="0.25">
      <c r="A112" s="140" t="s">
        <v>170</v>
      </c>
      <c r="B112" s="13" t="s">
        <v>8</v>
      </c>
      <c r="C112" s="186">
        <v>4.7547770000000003E-2</v>
      </c>
      <c r="D112" s="14">
        <v>5.3554699999999997E-2</v>
      </c>
      <c r="E112" s="14">
        <v>6.214103E-2</v>
      </c>
      <c r="F112" s="14">
        <v>6.6773180000000001E-2</v>
      </c>
      <c r="G112" s="14">
        <v>7.4480660000000004E-2</v>
      </c>
      <c r="H112" s="14">
        <v>9.1521439999999996E-2</v>
      </c>
      <c r="I112" s="14">
        <v>0.11205941</v>
      </c>
      <c r="J112" s="14">
        <v>0.13853945000000001</v>
      </c>
      <c r="K112" s="14">
        <v>0.13510506</v>
      </c>
      <c r="L112" s="14">
        <v>0.15060217000000001</v>
      </c>
      <c r="M112" s="14">
        <v>0.16743975999999999</v>
      </c>
      <c r="N112" s="14">
        <v>0.18412867999999999</v>
      </c>
      <c r="O112" s="14">
        <v>0.24207650999999999</v>
      </c>
      <c r="P112" s="14">
        <v>0.27644987999999998</v>
      </c>
      <c r="Q112" s="14">
        <v>0.30964747999999997</v>
      </c>
      <c r="R112" s="14">
        <v>0.35706441</v>
      </c>
      <c r="S112" s="14">
        <v>0.43691300999999999</v>
      </c>
      <c r="T112" s="14">
        <v>0.51131873000000005</v>
      </c>
      <c r="U112" s="14">
        <v>0.58447477000000003</v>
      </c>
      <c r="V112" s="14">
        <v>0.62729643999999996</v>
      </c>
      <c r="W112" s="14">
        <v>0.65351033000000003</v>
      </c>
      <c r="X112" s="206" t="s">
        <v>171</v>
      </c>
      <c r="Y112" s="207">
        <v>0.13194015127346601</v>
      </c>
      <c r="Z112" s="44" t="s">
        <v>172</v>
      </c>
    </row>
    <row r="113" spans="1:26" ht="15.75" customHeight="1" x14ac:dyDescent="0.25">
      <c r="Y113" s="207">
        <f>-1+(W112/C112)^(1/(W99-C99))</f>
        <v>0.14000331752531125</v>
      </c>
      <c r="Z113" s="44" t="s">
        <v>173</v>
      </c>
    </row>
    <row r="114" spans="1:26" ht="15.75" customHeight="1" x14ac:dyDescent="0.25">
      <c r="A114" s="85" t="s">
        <v>174</v>
      </c>
      <c r="B114" s="11" t="s">
        <v>175</v>
      </c>
      <c r="C114" s="86">
        <v>2015</v>
      </c>
    </row>
    <row r="115" spans="1:26" ht="15.75" customHeight="1" x14ac:dyDescent="0.25">
      <c r="A115" s="87" t="s">
        <v>176</v>
      </c>
      <c r="B115" s="87"/>
      <c r="C115" s="88">
        <v>1995</v>
      </c>
      <c r="D115" s="88">
        <v>1996</v>
      </c>
      <c r="E115" s="88">
        <v>1997</v>
      </c>
      <c r="F115" s="88">
        <v>1998</v>
      </c>
      <c r="G115" s="88">
        <v>1999</v>
      </c>
      <c r="H115" s="88">
        <v>2000</v>
      </c>
      <c r="I115" s="88">
        <v>2001</v>
      </c>
      <c r="J115" s="88">
        <v>2002</v>
      </c>
      <c r="K115" s="88">
        <v>2003</v>
      </c>
      <c r="L115" s="88">
        <v>2004</v>
      </c>
      <c r="M115" s="88">
        <v>2005</v>
      </c>
      <c r="N115" s="88">
        <v>2006</v>
      </c>
      <c r="O115" s="88">
        <v>2007</v>
      </c>
      <c r="P115" s="88">
        <v>2008</v>
      </c>
      <c r="Q115" s="88">
        <v>2009</v>
      </c>
      <c r="R115" s="88">
        <v>2010</v>
      </c>
      <c r="S115" s="88">
        <v>2011</v>
      </c>
      <c r="T115" s="88">
        <v>2012</v>
      </c>
      <c r="U115" s="88">
        <v>2013</v>
      </c>
      <c r="V115" s="88">
        <v>2014</v>
      </c>
      <c r="W115" s="88">
        <v>2015</v>
      </c>
      <c r="X115" s="88">
        <v>2016</v>
      </c>
    </row>
    <row r="116" spans="1:26" ht="15.75" customHeight="1" x14ac:dyDescent="0.25">
      <c r="A116" s="92" t="s">
        <v>177</v>
      </c>
      <c r="B116" s="13" t="s">
        <v>8</v>
      </c>
      <c r="C116" s="189"/>
      <c r="D116" s="14"/>
      <c r="E116" s="78"/>
      <c r="F116" s="78"/>
      <c r="G116" s="78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41"/>
      <c r="W116" s="13"/>
      <c r="X116" s="14"/>
    </row>
    <row r="117" spans="1:26" ht="15.75" customHeight="1" x14ac:dyDescent="0.25">
      <c r="A117" s="92" t="s">
        <v>178</v>
      </c>
      <c r="B117" s="13" t="s">
        <v>8</v>
      </c>
      <c r="C117" s="208"/>
      <c r="D117" s="13"/>
      <c r="E117" s="78"/>
      <c r="F117" s="78"/>
      <c r="G117" s="78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41"/>
      <c r="W117" s="13"/>
      <c r="X117" s="14"/>
    </row>
    <row r="118" spans="1:26" ht="15.75" customHeight="1" x14ac:dyDescent="0.25">
      <c r="A118" s="92" t="s">
        <v>179</v>
      </c>
      <c r="B118" s="13" t="s">
        <v>8</v>
      </c>
      <c r="C118" s="208"/>
      <c r="D118" s="13"/>
      <c r="E118" s="78"/>
      <c r="F118" s="78"/>
      <c r="G118" s="78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41"/>
      <c r="W118" s="13"/>
      <c r="X118" s="14"/>
    </row>
    <row r="119" spans="1:26" ht="15.75" customHeight="1" x14ac:dyDescent="0.25">
      <c r="A119" s="89" t="s">
        <v>180</v>
      </c>
      <c r="E119" s="90"/>
      <c r="F119" s="90"/>
      <c r="G119" s="90"/>
    </row>
    <row r="120" spans="1:26" ht="15.75" customHeight="1" x14ac:dyDescent="0.25">
      <c r="A120" s="92" t="s">
        <v>181</v>
      </c>
      <c r="B120" s="13" t="s">
        <v>82</v>
      </c>
      <c r="C120" s="209"/>
      <c r="D120" s="13"/>
      <c r="E120" s="78"/>
      <c r="F120" s="78"/>
      <c r="G120" s="78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41"/>
      <c r="W120" s="13"/>
      <c r="X120" s="14"/>
    </row>
    <row r="121" spans="1:26" ht="15.75" customHeight="1" x14ac:dyDescent="0.25">
      <c r="A121" s="92" t="s">
        <v>182</v>
      </c>
      <c r="B121" s="13" t="s">
        <v>82</v>
      </c>
      <c r="C121" s="209"/>
      <c r="D121" s="13"/>
      <c r="E121" s="78"/>
      <c r="F121" s="78"/>
      <c r="G121" s="78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41"/>
      <c r="W121" s="13"/>
      <c r="X121" s="14"/>
    </row>
    <row r="122" spans="1:26" ht="15.75" customHeight="1" x14ac:dyDescent="0.25">
      <c r="A122" s="92" t="s">
        <v>183</v>
      </c>
      <c r="B122" s="13" t="s">
        <v>82</v>
      </c>
      <c r="C122" s="209"/>
      <c r="D122" s="13"/>
      <c r="E122" s="78"/>
      <c r="F122" s="78"/>
      <c r="G122" s="78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41"/>
      <c r="W122" s="13"/>
      <c r="X122" s="14"/>
    </row>
    <row r="123" spans="1:26" ht="15.75" customHeight="1" x14ac:dyDescent="0.25">
      <c r="A123" s="92" t="s">
        <v>184</v>
      </c>
      <c r="B123" s="13" t="s">
        <v>82</v>
      </c>
      <c r="C123" s="209"/>
      <c r="D123" s="13"/>
      <c r="E123" s="78"/>
      <c r="F123" s="78"/>
      <c r="G123" s="78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4"/>
    </row>
    <row r="124" spans="1:26" ht="15.75" customHeight="1" x14ac:dyDescent="0.25">
      <c r="A124" s="89" t="s">
        <v>185</v>
      </c>
      <c r="E124" s="90"/>
      <c r="F124" s="90"/>
      <c r="G124" s="90"/>
    </row>
    <row r="125" spans="1:26" ht="15.75" customHeight="1" x14ac:dyDescent="0.25">
      <c r="A125" s="92" t="s">
        <v>186</v>
      </c>
      <c r="B125" s="13" t="s">
        <v>8</v>
      </c>
      <c r="C125" s="210">
        <v>0.1</v>
      </c>
      <c r="D125" s="13">
        <v>0.09</v>
      </c>
      <c r="E125" s="13">
        <v>0.08</v>
      </c>
      <c r="F125" s="13">
        <v>7.0000000000000007E-2</v>
      </c>
      <c r="G125" s="13">
        <v>0.06</v>
      </c>
      <c r="H125" s="13">
        <v>0.05</v>
      </c>
      <c r="I125" s="13">
        <v>3.9999999999999897E-2</v>
      </c>
      <c r="J125" s="13">
        <v>2.9999999999999898E-2</v>
      </c>
      <c r="K125" s="13">
        <v>1.99999999999999E-2</v>
      </c>
      <c r="L125" s="13">
        <v>9.99999999999991E-3</v>
      </c>
      <c r="M125" s="13">
        <v>0.01</v>
      </c>
      <c r="N125" s="13">
        <v>1.0000000000000101E-2</v>
      </c>
      <c r="O125" s="13">
        <v>1.00000000000002E-2</v>
      </c>
      <c r="P125" s="13">
        <v>1.00000000000003E-2</v>
      </c>
      <c r="Q125" s="13">
        <v>1.0000000000000399E-2</v>
      </c>
      <c r="R125" s="13">
        <v>1.00000000000005E-2</v>
      </c>
      <c r="S125" s="13">
        <v>1.00000000000005E-2</v>
      </c>
      <c r="T125" s="13">
        <v>1.00000000000006E-2</v>
      </c>
      <c r="U125" s="13">
        <v>1.0000000000000699E-2</v>
      </c>
      <c r="V125" s="13">
        <v>1.00000000000008E-2</v>
      </c>
      <c r="W125" s="13">
        <v>1.0000000000000901E-2</v>
      </c>
      <c r="X125" s="13">
        <v>1.0000000000000999E-2</v>
      </c>
    </row>
    <row r="126" spans="1:26" ht="15.75" customHeight="1" x14ac:dyDescent="0.25">
      <c r="A126" s="92" t="s">
        <v>187</v>
      </c>
      <c r="B126" s="13" t="s">
        <v>8</v>
      </c>
      <c r="C126" s="210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</row>
    <row r="127" spans="1:26" ht="15.75" customHeight="1" x14ac:dyDescent="0.25">
      <c r="A127" s="59" t="s">
        <v>188</v>
      </c>
      <c r="B127" s="13" t="s">
        <v>8</v>
      </c>
      <c r="C127" s="210">
        <v>1</v>
      </c>
      <c r="D127" s="13">
        <v>1</v>
      </c>
      <c r="E127" s="13">
        <v>1</v>
      </c>
      <c r="F127" s="13">
        <v>1</v>
      </c>
      <c r="G127" s="13">
        <v>1</v>
      </c>
      <c r="H127" s="13">
        <v>1</v>
      </c>
      <c r="I127" s="13">
        <v>1</v>
      </c>
      <c r="J127" s="13">
        <v>1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1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>
        <v>1</v>
      </c>
      <c r="W127" s="13">
        <v>1</v>
      </c>
      <c r="X127" s="13">
        <v>1</v>
      </c>
    </row>
    <row r="128" spans="1:26" ht="15.75" customHeight="1" x14ac:dyDescent="0.25">
      <c r="A128" s="59" t="s">
        <v>189</v>
      </c>
      <c r="B128" s="13" t="s">
        <v>8</v>
      </c>
      <c r="C128" s="211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</row>
    <row r="129" spans="1:27" ht="15.75" customHeight="1" x14ac:dyDescent="0.25">
      <c r="A129" s="19" t="s">
        <v>190</v>
      </c>
      <c r="E129" s="90"/>
      <c r="F129" s="90"/>
      <c r="G129" s="90"/>
    </row>
    <row r="130" spans="1:27" ht="15.75" customHeight="1" x14ac:dyDescent="0.25">
      <c r="A130" s="59" t="s">
        <v>191</v>
      </c>
      <c r="B130" s="13" t="s">
        <v>192</v>
      </c>
      <c r="C130" s="212">
        <f t="shared" ref="C130:W130" si="1">D130*0.9</f>
        <v>14.118332167639048</v>
      </c>
      <c r="D130" s="13">
        <f t="shared" si="1"/>
        <v>15.687035741821164</v>
      </c>
      <c r="E130" s="13">
        <f t="shared" si="1"/>
        <v>17.430039713134626</v>
      </c>
      <c r="F130" s="13">
        <f t="shared" si="1"/>
        <v>19.366710792371805</v>
      </c>
      <c r="G130" s="13">
        <f t="shared" si="1"/>
        <v>21.518567547079783</v>
      </c>
      <c r="H130" s="13">
        <f t="shared" si="1"/>
        <v>23.909519496755316</v>
      </c>
      <c r="I130" s="13">
        <f t="shared" si="1"/>
        <v>26.566132774172573</v>
      </c>
      <c r="J130" s="13">
        <f t="shared" si="1"/>
        <v>29.51792530463619</v>
      </c>
      <c r="K130" s="13">
        <f t="shared" si="1"/>
        <v>32.797694782929099</v>
      </c>
      <c r="L130" s="13">
        <f t="shared" si="1"/>
        <v>36.441883092143442</v>
      </c>
      <c r="M130" s="13">
        <f t="shared" si="1"/>
        <v>40.490981213492709</v>
      </c>
      <c r="N130" s="13">
        <f t="shared" si="1"/>
        <v>44.989979126103009</v>
      </c>
      <c r="O130" s="13">
        <f t="shared" si="1"/>
        <v>49.988865695670007</v>
      </c>
      <c r="P130" s="13">
        <f t="shared" si="1"/>
        <v>55.543184106300011</v>
      </c>
      <c r="Q130" s="13">
        <f t="shared" si="1"/>
        <v>61.714649007000013</v>
      </c>
      <c r="R130" s="13">
        <f t="shared" si="1"/>
        <v>68.571832230000012</v>
      </c>
      <c r="S130" s="13">
        <f t="shared" si="1"/>
        <v>76.190924700000011</v>
      </c>
      <c r="T130" s="13">
        <f t="shared" si="1"/>
        <v>84.656583000000012</v>
      </c>
      <c r="U130" s="13">
        <f t="shared" si="1"/>
        <v>94.062870000000004</v>
      </c>
      <c r="V130" s="13">
        <f t="shared" si="1"/>
        <v>104.51430000000001</v>
      </c>
      <c r="W130" s="13">
        <f t="shared" si="1"/>
        <v>116.12700000000001</v>
      </c>
      <c r="X130" s="13">
        <f>(175000000/1000*0.51+51000000/1000*0.78)/1000</f>
        <v>129.03</v>
      </c>
    </row>
    <row r="131" spans="1:27" ht="15.75" customHeight="1" x14ac:dyDescent="0.25">
      <c r="A131" s="93" t="s">
        <v>193</v>
      </c>
      <c r="B131" s="94"/>
      <c r="C131" s="11"/>
      <c r="D131" s="11"/>
      <c r="E131" s="90"/>
      <c r="F131" s="90"/>
      <c r="G131" s="9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7" ht="15.75" customHeight="1" x14ac:dyDescent="0.25">
      <c r="A132" s="92" t="s">
        <v>194</v>
      </c>
      <c r="B132" s="13" t="s">
        <v>195</v>
      </c>
      <c r="C132" s="170"/>
      <c r="D132" s="4"/>
      <c r="E132" s="80"/>
      <c r="F132" s="80"/>
      <c r="G132" s="80"/>
      <c r="H132" s="1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4"/>
      <c r="X132" s="14"/>
    </row>
    <row r="133" spans="1:27" ht="15.75" customHeight="1" x14ac:dyDescent="0.25">
      <c r="A133" s="92" t="s">
        <v>196</v>
      </c>
      <c r="B133" s="13" t="s">
        <v>195</v>
      </c>
      <c r="C133" s="209"/>
      <c r="D133" s="13"/>
      <c r="E133" s="78"/>
      <c r="F133" s="78"/>
      <c r="G133" s="78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4"/>
      <c r="X133" s="14"/>
    </row>
    <row r="134" spans="1:27" ht="15.75" customHeight="1" x14ac:dyDescent="0.25">
      <c r="A134" s="143" t="s">
        <v>197</v>
      </c>
      <c r="B134" s="4" t="s">
        <v>195</v>
      </c>
      <c r="C134" s="213"/>
      <c r="D134" s="4"/>
      <c r="E134" s="80"/>
      <c r="F134" s="80"/>
      <c r="G134" s="80"/>
      <c r="H134" s="124">
        <v>9.9173991666666677</v>
      </c>
      <c r="I134" s="124">
        <v>8.5887736111111117</v>
      </c>
      <c r="J134" s="124">
        <v>8.5763472222222212</v>
      </c>
      <c r="K134" s="124">
        <v>8.5833700000000004</v>
      </c>
      <c r="L134" s="124">
        <v>9.6676191666666664</v>
      </c>
      <c r="M134" s="124">
        <v>10.17400388888889</v>
      </c>
      <c r="N134" s="124">
        <v>10.273558055555554</v>
      </c>
      <c r="O134" s="124">
        <v>12.640489722222222</v>
      </c>
      <c r="P134" s="124">
        <v>12.682256388888888</v>
      </c>
      <c r="Q134" s="124">
        <v>13.057979444444445</v>
      </c>
      <c r="R134" s="124">
        <v>11.611947222222222</v>
      </c>
      <c r="S134" s="124">
        <v>12.452296944444443</v>
      </c>
      <c r="T134" s="124">
        <v>12.241461944444444</v>
      </c>
      <c r="U134" s="124">
        <v>13.618443611111111</v>
      </c>
      <c r="V134" s="124">
        <v>14.215660555555555</v>
      </c>
      <c r="W134" s="214">
        <v>14.254944999999999</v>
      </c>
      <c r="X134" s="215">
        <v>13.287527499999999</v>
      </c>
      <c r="Y134" s="216">
        <v>12.692636666666665</v>
      </c>
      <c r="Z134" s="216">
        <v>13.656739166666664</v>
      </c>
      <c r="AA134" s="216">
        <v>14.09317361111111</v>
      </c>
    </row>
    <row r="135" spans="1:27" ht="15.75" customHeight="1" x14ac:dyDescent="0.25">
      <c r="A135" s="93" t="s">
        <v>198</v>
      </c>
      <c r="B135" s="94"/>
      <c r="C135" s="11"/>
      <c r="D135" s="11"/>
      <c r="E135" s="90"/>
      <c r="F135" s="90"/>
      <c r="G135" s="9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7" ht="15.75" customHeight="1" x14ac:dyDescent="0.25">
      <c r="A136" s="92" t="s">
        <v>194</v>
      </c>
      <c r="B136" s="13" t="s">
        <v>195</v>
      </c>
      <c r="C136" s="208"/>
      <c r="D136" s="13"/>
      <c r="E136" s="78"/>
      <c r="F136" s="78"/>
      <c r="G136" s="78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7" ht="15.75" customHeight="1" x14ac:dyDescent="0.25">
      <c r="A137" s="92" t="s">
        <v>196</v>
      </c>
      <c r="B137" s="13" t="s">
        <v>195</v>
      </c>
      <c r="C137" s="208"/>
      <c r="D137" s="13"/>
      <c r="E137" s="78"/>
      <c r="F137" s="78"/>
      <c r="G137" s="78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4"/>
    </row>
    <row r="138" spans="1:27" ht="15.75" customHeight="1" x14ac:dyDescent="0.25">
      <c r="A138" s="143" t="s">
        <v>197</v>
      </c>
      <c r="B138" s="4" t="s">
        <v>195</v>
      </c>
      <c r="C138" s="213"/>
      <c r="D138" s="4"/>
      <c r="E138" s="80"/>
      <c r="F138" s="80"/>
      <c r="G138" s="8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14"/>
    </row>
    <row r="139" spans="1:27" ht="15.75" customHeight="1" x14ac:dyDescent="0.25">
      <c r="A139" s="93" t="s">
        <v>199</v>
      </c>
      <c r="E139" s="90"/>
      <c r="F139" s="90"/>
      <c r="G139" s="90"/>
    </row>
    <row r="140" spans="1:27" ht="15.75" customHeight="1" x14ac:dyDescent="0.25">
      <c r="A140" s="92" t="s">
        <v>200</v>
      </c>
      <c r="B140" s="13" t="s">
        <v>201</v>
      </c>
      <c r="C140" s="217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144">
        <v>5.1929999999999996</v>
      </c>
      <c r="O140" s="144">
        <v>5.1929999999999996</v>
      </c>
      <c r="P140" s="144">
        <v>5.1929999999999996</v>
      </c>
      <c r="Q140" s="144">
        <v>5.1929999999999996</v>
      </c>
      <c r="R140" s="144">
        <v>5.1929999999999996</v>
      </c>
      <c r="S140" s="144">
        <v>5.1929999999999996</v>
      </c>
      <c r="T140" s="144">
        <v>5.1929999999999996</v>
      </c>
      <c r="U140" s="78"/>
      <c r="V140" s="83"/>
      <c r="W140" s="78"/>
      <c r="X140" s="78"/>
    </row>
    <row r="141" spans="1:27" ht="15.75" customHeight="1" x14ac:dyDescent="0.25">
      <c r="A141" s="92" t="s">
        <v>314</v>
      </c>
      <c r="B141" s="14" t="s">
        <v>8</v>
      </c>
      <c r="C141" s="218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"/>
      <c r="O141" s="14"/>
      <c r="P141" s="14"/>
      <c r="Q141" s="14"/>
      <c r="R141" s="145"/>
      <c r="S141" s="14"/>
      <c r="T141" s="14"/>
      <c r="U141" s="14"/>
      <c r="V141" s="14"/>
      <c r="W141" s="145"/>
      <c r="X141" s="14"/>
    </row>
    <row r="142" spans="1:27" ht="15.75" customHeight="1" x14ac:dyDescent="0.25">
      <c r="A142" s="102" t="s">
        <v>293</v>
      </c>
      <c r="B142" s="13" t="s">
        <v>80</v>
      </c>
      <c r="C142" s="191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7" ht="15.75" customHeight="1" x14ac:dyDescent="0.25">
      <c r="A143" s="93" t="s">
        <v>202</v>
      </c>
    </row>
    <row r="144" spans="1:27" ht="15.75" customHeight="1" x14ac:dyDescent="0.25">
      <c r="A144" s="140" t="s">
        <v>203</v>
      </c>
      <c r="B144" s="4" t="s">
        <v>204</v>
      </c>
      <c r="C144" s="219"/>
      <c r="D144" s="80"/>
      <c r="E144" s="80"/>
      <c r="F144" s="80"/>
      <c r="G144" s="80"/>
      <c r="H144" s="80">
        <v>3.1936054333333401E-2</v>
      </c>
      <c r="I144" s="80">
        <v>3.2725662333333301E-2</v>
      </c>
      <c r="J144" s="80">
        <v>3.3515270333333298E-2</v>
      </c>
      <c r="K144" s="80">
        <v>3.4304878333333302E-2</v>
      </c>
      <c r="L144" s="80">
        <v>3.50944863333333E-2</v>
      </c>
      <c r="M144" s="80">
        <v>3.5884094333333297E-2</v>
      </c>
      <c r="N144" s="146">
        <v>3.6685549000000005E-2</v>
      </c>
      <c r="O144" s="146">
        <v>3.7439617000000001E-2</v>
      </c>
      <c r="P144" s="146">
        <v>3.8264764999999999E-2</v>
      </c>
      <c r="Q144" s="146">
        <v>3.8414050000000005E-2</v>
      </c>
      <c r="R144" s="146">
        <v>3.8426459999999996E-2</v>
      </c>
      <c r="S144" s="146">
        <v>3.8183752999999994E-2</v>
      </c>
      <c r="T144" s="146">
        <v>3.8384028000000001E-2</v>
      </c>
      <c r="U144" s="146">
        <v>3.8584303E-2</v>
      </c>
      <c r="V144" s="146">
        <v>4.0054685E-2</v>
      </c>
      <c r="W144" s="147">
        <v>4.0027834999999998E-2</v>
      </c>
      <c r="X144" s="146">
        <v>4.0375318E-2</v>
      </c>
      <c r="Y144" s="148">
        <v>4.0437533000000005E-2</v>
      </c>
    </row>
    <row r="145" spans="1:25" ht="15.75" customHeight="1" x14ac:dyDescent="0.25">
      <c r="A145" s="149" t="s">
        <v>13</v>
      </c>
      <c r="B145" s="4" t="s">
        <v>204</v>
      </c>
      <c r="C145" s="191"/>
      <c r="D145" s="41"/>
      <c r="E145" s="41"/>
      <c r="F145" s="41"/>
      <c r="G145" s="41"/>
      <c r="H145" s="41"/>
      <c r="I145" s="41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5.75" customHeight="1" x14ac:dyDescent="0.25">
      <c r="A146" s="149" t="s">
        <v>205</v>
      </c>
      <c r="B146" s="13" t="s">
        <v>204</v>
      </c>
      <c r="C146" s="191"/>
      <c r="D146" s="41"/>
      <c r="E146" s="41"/>
      <c r="F146" s="41"/>
      <c r="G146" s="41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34"/>
      <c r="X146" s="14"/>
    </row>
    <row r="147" spans="1:25" ht="15.75" customHeight="1" x14ac:dyDescent="0.25">
      <c r="A147" s="150" t="s">
        <v>15</v>
      </c>
      <c r="B147" s="13" t="s">
        <v>204</v>
      </c>
      <c r="C147" s="191"/>
      <c r="D147" s="41"/>
      <c r="E147" s="41"/>
      <c r="F147" s="41"/>
      <c r="G147" s="41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34"/>
      <c r="X147" s="14"/>
    </row>
    <row r="148" spans="1:25" ht="15.75" customHeight="1" x14ac:dyDescent="0.25">
      <c r="A148" s="150" t="s">
        <v>16</v>
      </c>
      <c r="B148" s="13" t="s">
        <v>204</v>
      </c>
      <c r="C148" s="220"/>
      <c r="D148" s="41"/>
      <c r="E148" s="41"/>
      <c r="F148" s="41"/>
      <c r="G148" s="41"/>
      <c r="H148" s="14">
        <v>3.2174999999999999E-4</v>
      </c>
      <c r="I148" s="14">
        <v>3.2174999999999999E-4</v>
      </c>
      <c r="J148" s="14">
        <v>3.2174999999999999E-4</v>
      </c>
      <c r="K148" s="14">
        <v>3.2174999999999999E-4</v>
      </c>
      <c r="L148" s="14">
        <v>3.2174999999999999E-4</v>
      </c>
      <c r="M148" s="14">
        <v>3.2174999999999999E-4</v>
      </c>
      <c r="N148" s="151">
        <v>3.2174999999999999E-4</v>
      </c>
      <c r="O148" s="151">
        <v>3.2174999999999999E-4</v>
      </c>
      <c r="P148" s="151">
        <v>4.1999999999999996E-4</v>
      </c>
      <c r="Q148" s="151">
        <v>6.577000000000001E-4</v>
      </c>
      <c r="R148" s="151">
        <v>7.8629999999999998E-4</v>
      </c>
      <c r="S148" s="151">
        <v>1.1199000000000001E-3</v>
      </c>
      <c r="T148" s="151">
        <v>1.5457439999999999E-3</v>
      </c>
      <c r="U148" s="151">
        <v>1.9715879999999998E-3</v>
      </c>
      <c r="V148" s="151">
        <v>2.7661379999999996E-3</v>
      </c>
      <c r="W148" s="152">
        <v>3.156978E-3</v>
      </c>
      <c r="X148" s="151">
        <v>3.407673E-3</v>
      </c>
      <c r="Y148" s="148">
        <v>3.4322730000000004E-3</v>
      </c>
    </row>
    <row r="149" spans="1:25" ht="15.75" customHeight="1" x14ac:dyDescent="0.25">
      <c r="A149" s="150" t="s">
        <v>206</v>
      </c>
      <c r="B149" s="13" t="s">
        <v>204</v>
      </c>
      <c r="C149" s="191"/>
      <c r="D149" s="41"/>
      <c r="E149" s="41"/>
      <c r="F149" s="41"/>
      <c r="G149" s="41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5.75" customHeight="1" x14ac:dyDescent="0.25">
      <c r="A150" s="150" t="s">
        <v>18</v>
      </c>
      <c r="B150" s="13" t="s">
        <v>204</v>
      </c>
      <c r="C150" s="191"/>
      <c r="D150" s="41"/>
      <c r="E150" s="41"/>
      <c r="F150" s="41"/>
      <c r="G150" s="41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34"/>
      <c r="X150" s="14"/>
    </row>
    <row r="151" spans="1:25" ht="15.75" customHeight="1" x14ac:dyDescent="0.25">
      <c r="A151" s="150" t="s">
        <v>207</v>
      </c>
      <c r="B151" s="13" t="s">
        <v>204</v>
      </c>
      <c r="C151" s="19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34"/>
      <c r="X151" s="14"/>
    </row>
    <row r="152" spans="1:25" ht="15.75" customHeight="1" x14ac:dyDescent="0.25">
      <c r="A152" s="153" t="s">
        <v>208</v>
      </c>
      <c r="B152" s="4" t="s">
        <v>204</v>
      </c>
      <c r="C152" s="19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154"/>
      <c r="X152" s="14"/>
    </row>
    <row r="153" spans="1:25" ht="15.75" customHeight="1" x14ac:dyDescent="0.25">
      <c r="A153" s="93" t="s">
        <v>209</v>
      </c>
    </row>
    <row r="154" spans="1:25" ht="15.75" customHeight="1" x14ac:dyDescent="0.25">
      <c r="A154" s="140" t="s">
        <v>210</v>
      </c>
      <c r="B154" s="4" t="s">
        <v>80</v>
      </c>
      <c r="C154" s="221">
        <v>0</v>
      </c>
      <c r="D154" s="155">
        <v>0</v>
      </c>
      <c r="E154" s="155">
        <v>0</v>
      </c>
      <c r="F154" s="155">
        <v>0</v>
      </c>
      <c r="G154" s="155">
        <v>0</v>
      </c>
      <c r="H154" s="155">
        <v>0</v>
      </c>
      <c r="I154" s="155">
        <v>0</v>
      </c>
      <c r="J154" s="155">
        <v>0</v>
      </c>
      <c r="K154" s="155">
        <v>0</v>
      </c>
      <c r="L154" s="155">
        <v>0</v>
      </c>
      <c r="M154" s="155">
        <v>0</v>
      </c>
      <c r="N154" s="155">
        <v>0</v>
      </c>
      <c r="O154" s="155">
        <v>0</v>
      </c>
      <c r="P154" s="155">
        <v>0</v>
      </c>
      <c r="Q154" s="155">
        <v>0</v>
      </c>
      <c r="R154" s="155">
        <v>0</v>
      </c>
      <c r="S154" s="155">
        <v>0</v>
      </c>
      <c r="T154" s="155">
        <v>0</v>
      </c>
      <c r="U154" s="155">
        <v>0</v>
      </c>
      <c r="V154" s="155">
        <v>0</v>
      </c>
      <c r="W154" s="155">
        <v>0</v>
      </c>
      <c r="X154" s="155">
        <v>0</v>
      </c>
    </row>
    <row r="155" spans="1:25" ht="15.75" customHeight="1" x14ac:dyDescent="0.25">
      <c r="A155" s="140" t="s">
        <v>212</v>
      </c>
      <c r="B155" s="4" t="s">
        <v>80</v>
      </c>
      <c r="C155" s="221">
        <v>0</v>
      </c>
      <c r="D155" s="155">
        <v>0</v>
      </c>
      <c r="E155" s="155">
        <v>0</v>
      </c>
      <c r="F155" s="155">
        <v>0</v>
      </c>
      <c r="G155" s="155">
        <v>0</v>
      </c>
      <c r="H155" s="155">
        <v>0</v>
      </c>
      <c r="I155" s="155">
        <v>0</v>
      </c>
      <c r="J155" s="155">
        <v>0</v>
      </c>
      <c r="K155" s="155">
        <v>0</v>
      </c>
      <c r="L155" s="155">
        <v>0</v>
      </c>
      <c r="M155" s="155">
        <v>0</v>
      </c>
      <c r="N155" s="155">
        <v>0</v>
      </c>
      <c r="O155" s="155">
        <v>0</v>
      </c>
      <c r="P155" s="155">
        <v>0</v>
      </c>
      <c r="Q155" s="155">
        <v>0</v>
      </c>
      <c r="R155" s="155">
        <v>0</v>
      </c>
      <c r="S155" s="155">
        <v>0</v>
      </c>
      <c r="T155" s="155">
        <v>0</v>
      </c>
      <c r="U155" s="155">
        <v>0</v>
      </c>
      <c r="V155" s="155">
        <v>0</v>
      </c>
      <c r="W155" s="155">
        <v>0</v>
      </c>
      <c r="X155" s="155">
        <v>0</v>
      </c>
    </row>
    <row r="156" spans="1:25" ht="15.75" customHeight="1" x14ac:dyDescent="0.25">
      <c r="A156" s="140" t="s">
        <v>213</v>
      </c>
      <c r="B156" s="4" t="s">
        <v>80</v>
      </c>
      <c r="C156" s="221">
        <v>5.5839E-2</v>
      </c>
      <c r="D156" s="156">
        <v>6.0093000000000001E-2</v>
      </c>
      <c r="E156" s="156">
        <v>6.4227999999999993E-2</v>
      </c>
      <c r="F156" s="156">
        <v>6.5581E-2</v>
      </c>
      <c r="G156" s="156">
        <v>7.3471000000000009E-2</v>
      </c>
      <c r="H156" s="156">
        <v>6.1558999999999996E-2</v>
      </c>
      <c r="I156" s="156">
        <v>8.370699999999999E-2</v>
      </c>
      <c r="J156" s="156">
        <v>0.11876300000000001</v>
      </c>
      <c r="K156" s="156">
        <v>0.11494799999999999</v>
      </c>
      <c r="L156" s="156">
        <v>0.12294100000000001</v>
      </c>
      <c r="M156" s="156">
        <v>0.11618099999999999</v>
      </c>
      <c r="N156" s="156">
        <v>0.12545200000000001</v>
      </c>
      <c r="O156" s="156">
        <v>0.117938</v>
      </c>
      <c r="P156" s="156">
        <v>0.112038</v>
      </c>
      <c r="Q156" s="156">
        <v>0.10022499999999999</v>
      </c>
      <c r="R156" s="156">
        <v>9.7983999999999988E-2</v>
      </c>
      <c r="S156" s="156">
        <v>9.6626999999999991E-2</v>
      </c>
      <c r="T156" s="156">
        <v>9.4602999999999993E-2</v>
      </c>
      <c r="U156" s="156">
        <v>7.2882999999999989E-2</v>
      </c>
      <c r="V156" s="156">
        <v>6.4281000000000005E-2</v>
      </c>
      <c r="W156" s="156">
        <v>8.3350333333333318E-2</v>
      </c>
      <c r="X156" s="14">
        <v>6.9281000000000009E-2</v>
      </c>
    </row>
    <row r="157" spans="1:25" ht="15.75" customHeight="1" x14ac:dyDescent="0.25">
      <c r="A157" s="140" t="s">
        <v>214</v>
      </c>
      <c r="B157" s="4" t="s">
        <v>80</v>
      </c>
      <c r="C157" s="221">
        <v>0</v>
      </c>
      <c r="D157" s="156">
        <v>0</v>
      </c>
      <c r="E157" s="156">
        <v>0</v>
      </c>
      <c r="F157" s="156">
        <v>0</v>
      </c>
      <c r="G157" s="156">
        <v>0</v>
      </c>
      <c r="H157" s="156">
        <v>3.9999999999999998E-6</v>
      </c>
      <c r="I157" s="156">
        <v>0</v>
      </c>
      <c r="J157" s="156">
        <v>0</v>
      </c>
      <c r="K157" s="156">
        <v>0</v>
      </c>
      <c r="L157" s="156">
        <v>0</v>
      </c>
      <c r="M157" s="156">
        <v>0</v>
      </c>
      <c r="N157" s="156">
        <v>0</v>
      </c>
      <c r="O157" s="156">
        <v>0</v>
      </c>
      <c r="P157" s="156">
        <v>0</v>
      </c>
      <c r="Q157" s="156">
        <v>0</v>
      </c>
      <c r="R157" s="156">
        <v>0</v>
      </c>
      <c r="S157" s="156">
        <v>4.06E-4</v>
      </c>
      <c r="T157" s="156">
        <v>3.5299999999999996E-4</v>
      </c>
      <c r="U157" s="156">
        <v>3.0800000000000001E-4</v>
      </c>
      <c r="V157" s="156">
        <v>3.1199999999999999E-4</v>
      </c>
      <c r="W157" s="156">
        <v>3.0000000000000001E-6</v>
      </c>
      <c r="X157" s="14">
        <v>0</v>
      </c>
    </row>
    <row r="158" spans="1:25" ht="15.75" customHeight="1" x14ac:dyDescent="0.25">
      <c r="A158" s="140" t="s">
        <v>215</v>
      </c>
      <c r="B158" s="4" t="s">
        <v>80</v>
      </c>
      <c r="C158" s="221">
        <v>7.7819999999999999E-3</v>
      </c>
      <c r="D158" s="156">
        <v>7.5929999999999999E-3</v>
      </c>
      <c r="E158" s="156">
        <v>7.8200000000000006E-3</v>
      </c>
      <c r="F158" s="156">
        <v>8.010999999999999E-3</v>
      </c>
      <c r="G158" s="156">
        <v>7.3730000000000002E-3</v>
      </c>
      <c r="H158" s="156">
        <v>8.2480000000000001E-3</v>
      </c>
      <c r="I158" s="156">
        <v>6.9509999999999997E-3</v>
      </c>
      <c r="J158" s="156">
        <v>8.0139999999999986E-3</v>
      </c>
      <c r="K158" s="156">
        <v>8.7729999999999995E-3</v>
      </c>
      <c r="L158" s="156">
        <v>9.5630000000000003E-3</v>
      </c>
      <c r="M158" s="156">
        <v>8.3590000000000001E-3</v>
      </c>
      <c r="N158" s="156">
        <v>9.2170000000000012E-3</v>
      </c>
      <c r="O158" s="156">
        <v>8.3819999999999988E-3</v>
      </c>
      <c r="P158" s="156">
        <v>2.2899999999999999E-3</v>
      </c>
      <c r="Q158" s="156">
        <v>2.0560000000000001E-3</v>
      </c>
      <c r="R158" s="156">
        <v>1.302E-3</v>
      </c>
      <c r="S158" s="156">
        <v>1.3731999999999999E-2</v>
      </c>
      <c r="T158" s="156">
        <v>8.4250000000000002E-3</v>
      </c>
      <c r="U158" s="156">
        <v>1.2416E-2</v>
      </c>
      <c r="V158" s="156">
        <v>1.2959E-2</v>
      </c>
      <c r="W158" s="156">
        <v>1.9586666666666667E-3</v>
      </c>
      <c r="X158" s="14">
        <v>3.0353333333333335E-3</v>
      </c>
    </row>
    <row r="159" spans="1:25" ht="15.75" customHeight="1" x14ac:dyDescent="0.25">
      <c r="A159" s="93" t="s">
        <v>216</v>
      </c>
    </row>
    <row r="160" spans="1:25" ht="15.75" customHeight="1" x14ac:dyDescent="0.25">
      <c r="A160" s="140" t="s">
        <v>217</v>
      </c>
      <c r="B160" s="4" t="s">
        <v>8</v>
      </c>
      <c r="C160" s="222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4"/>
    </row>
    <row r="161" spans="1:29" ht="15.75" customHeight="1" x14ac:dyDescent="0.25">
      <c r="A161" s="140" t="s">
        <v>218</v>
      </c>
      <c r="B161" s="4" t="s">
        <v>8</v>
      </c>
      <c r="C161" s="222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4"/>
    </row>
    <row r="162" spans="1:29" ht="15.75" customHeight="1" x14ac:dyDescent="0.25">
      <c r="A162" s="140" t="s">
        <v>219</v>
      </c>
      <c r="B162" s="4" t="s">
        <v>8</v>
      </c>
      <c r="C162" s="222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4"/>
    </row>
    <row r="163" spans="1:29" ht="15.75" customHeight="1" x14ac:dyDescent="0.25">
      <c r="A163" s="93" t="s">
        <v>220</v>
      </c>
    </row>
    <row r="164" spans="1:29" ht="15.75" customHeight="1" x14ac:dyDescent="0.25">
      <c r="A164" s="140" t="s">
        <v>221</v>
      </c>
      <c r="B164" s="4" t="s">
        <v>8</v>
      </c>
      <c r="C164" s="223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34"/>
      <c r="W164" s="14"/>
      <c r="X164" s="14"/>
    </row>
    <row r="165" spans="1:29" ht="15.75" customHeight="1" x14ac:dyDescent="0.25">
      <c r="A165" s="140" t="s">
        <v>222</v>
      </c>
      <c r="B165" s="4" t="s">
        <v>8</v>
      </c>
      <c r="C165" s="223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34"/>
      <c r="W165" s="14"/>
      <c r="X165" s="14"/>
    </row>
    <row r="166" spans="1:29" ht="15.75" customHeight="1" x14ac:dyDescent="0.25">
      <c r="A166" s="140" t="s">
        <v>223</v>
      </c>
      <c r="B166" s="4" t="s">
        <v>8</v>
      </c>
      <c r="C166" s="223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34"/>
      <c r="W166" s="14"/>
      <c r="X166" s="14"/>
    </row>
    <row r="167" spans="1:29" ht="15.75" customHeight="1" x14ac:dyDescent="0.25"/>
    <row r="168" spans="1:29" ht="15.75" customHeight="1" x14ac:dyDescent="0.25">
      <c r="A168" s="140" t="s">
        <v>224</v>
      </c>
      <c r="B168" s="4" t="s">
        <v>80</v>
      </c>
      <c r="C168" s="223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Z168" s="140" t="s">
        <v>225</v>
      </c>
      <c r="AA168" s="14" t="s">
        <v>8</v>
      </c>
      <c r="AB168" s="14">
        <v>4.4363405384274399E-2</v>
      </c>
      <c r="AC168" s="44" t="s">
        <v>294</v>
      </c>
    </row>
    <row r="169" spans="1:29" ht="15.75" customHeight="1" x14ac:dyDescent="0.25"/>
    <row r="170" spans="1:29" ht="15.75" customHeight="1" x14ac:dyDescent="0.25">
      <c r="A170" s="140" t="s">
        <v>226</v>
      </c>
      <c r="B170" s="13" t="s">
        <v>80</v>
      </c>
      <c r="C170" s="223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9" ht="15.75" customHeight="1" x14ac:dyDescent="0.25">
      <c r="A171" s="158" t="s">
        <v>295</v>
      </c>
      <c r="B171" s="56"/>
    </row>
    <row r="172" spans="1:29" ht="15.75" customHeight="1" x14ac:dyDescent="0.25">
      <c r="A172" s="59" t="s">
        <v>296</v>
      </c>
      <c r="B172" s="13" t="s">
        <v>80</v>
      </c>
      <c r="C172" s="224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</row>
    <row r="173" spans="1:29" ht="15.75" customHeight="1" x14ac:dyDescent="0.25">
      <c r="A173" s="59" t="s">
        <v>297</v>
      </c>
      <c r="B173" s="13" t="s">
        <v>80</v>
      </c>
      <c r="C173" s="224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</row>
    <row r="174" spans="1:29" ht="15.75" customHeight="1" x14ac:dyDescent="0.25">
      <c r="A174" s="59" t="s">
        <v>298</v>
      </c>
      <c r="B174" s="13" t="s">
        <v>80</v>
      </c>
      <c r="C174" s="224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</row>
    <row r="175" spans="1:29" ht="15.75" customHeight="1" x14ac:dyDescent="0.25">
      <c r="A175" s="59" t="s">
        <v>299</v>
      </c>
      <c r="B175" s="13" t="s">
        <v>80</v>
      </c>
      <c r="C175" s="224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</row>
    <row r="176" spans="1:29" ht="15.75" customHeight="1" x14ac:dyDescent="0.25">
      <c r="A176" s="73" t="s">
        <v>300</v>
      </c>
      <c r="B176" s="4" t="s">
        <v>80</v>
      </c>
      <c r="C176" s="225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Z176" s="161"/>
    </row>
    <row r="177" spans="1:34" ht="15.75" customHeight="1" x14ac:dyDescent="0.25">
      <c r="A177" s="59" t="s">
        <v>301</v>
      </c>
      <c r="B177" s="13" t="s">
        <v>302</v>
      </c>
      <c r="C177" s="226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91"/>
    </row>
    <row r="178" spans="1:34" ht="15.75" customHeight="1" x14ac:dyDescent="0.25"/>
    <row r="179" spans="1:34" ht="15.75" customHeight="1" x14ac:dyDescent="0.25"/>
    <row r="180" spans="1:34" ht="15.75" customHeight="1" x14ac:dyDescent="0.25">
      <c r="A180" s="103" t="s">
        <v>227</v>
      </c>
      <c r="B180" s="291" t="s">
        <v>228</v>
      </c>
      <c r="C180" s="291" t="s">
        <v>388</v>
      </c>
      <c r="D180" s="291" t="s">
        <v>389</v>
      </c>
      <c r="E180" s="291" t="s">
        <v>390</v>
      </c>
      <c r="F180" s="291" t="s">
        <v>391</v>
      </c>
      <c r="G180" s="291" t="s">
        <v>272</v>
      </c>
      <c r="H180" s="291" t="s">
        <v>392</v>
      </c>
      <c r="I180" s="291" t="s">
        <v>393</v>
      </c>
      <c r="J180" s="291" t="s">
        <v>394</v>
      </c>
      <c r="K180" s="291" t="s">
        <v>395</v>
      </c>
      <c r="L180" s="291" t="s">
        <v>396</v>
      </c>
      <c r="M180" s="291" t="s">
        <v>397</v>
      </c>
      <c r="N180" s="291" t="s">
        <v>398</v>
      </c>
      <c r="O180" s="291" t="s">
        <v>399</v>
      </c>
      <c r="P180" s="291" t="s">
        <v>400</v>
      </c>
      <c r="Q180" s="291" t="s">
        <v>401</v>
      </c>
      <c r="R180" s="291" t="s">
        <v>402</v>
      </c>
    </row>
    <row r="181" spans="1:34" ht="15.75" customHeight="1" x14ac:dyDescent="0.25">
      <c r="A181" s="106" t="s">
        <v>245</v>
      </c>
      <c r="B181" s="227">
        <v>3.19497005188102E-3</v>
      </c>
      <c r="C181" s="227">
        <v>2.31590835963566E-2</v>
      </c>
      <c r="D181" s="44">
        <v>2.31590835963566E-2</v>
      </c>
      <c r="E181" s="44">
        <v>0</v>
      </c>
      <c r="F181" s="44">
        <v>0</v>
      </c>
      <c r="G181" s="44">
        <v>2.31590835963566E-2</v>
      </c>
      <c r="H181" s="44">
        <v>2.31590835963566E-2</v>
      </c>
      <c r="I181" s="44">
        <v>2.31590835963566E-2</v>
      </c>
      <c r="J181" s="44">
        <v>2.31590835963566E-2</v>
      </c>
      <c r="K181" s="44">
        <v>2.31590835963566E-2</v>
      </c>
      <c r="L181" s="44">
        <v>2.31590835963566E-2</v>
      </c>
      <c r="M181" s="44">
        <v>2.31590835963566E-2</v>
      </c>
      <c r="N181" s="44">
        <v>2.31590835963566E-2</v>
      </c>
      <c r="O181" s="44">
        <v>2.31590835963566E-2</v>
      </c>
      <c r="P181" s="44">
        <v>2.31590835963566E-2</v>
      </c>
      <c r="Q181" s="44">
        <v>2.31590835963566E-2</v>
      </c>
      <c r="R181" s="44">
        <v>2.31590835963566E-2</v>
      </c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</row>
    <row r="182" spans="1:34" ht="15.75" customHeight="1" x14ac:dyDescent="0.25">
      <c r="A182" s="106" t="s">
        <v>246</v>
      </c>
      <c r="B182" s="227">
        <v>7.8374948309083606E-2</v>
      </c>
      <c r="C182" s="227">
        <v>7.2226868088293095E-2</v>
      </c>
      <c r="D182" s="44">
        <v>7.2226868088293095E-2</v>
      </c>
      <c r="E182" s="44">
        <v>0</v>
      </c>
      <c r="F182" s="44">
        <v>0</v>
      </c>
      <c r="G182" s="44">
        <v>7.2226868088293095E-2</v>
      </c>
      <c r="H182" s="44">
        <v>7.2226868088293095E-2</v>
      </c>
      <c r="I182" s="44">
        <v>7.2226868088293095E-2</v>
      </c>
      <c r="J182" s="44">
        <v>7.2226868088293095E-2</v>
      </c>
      <c r="K182" s="44">
        <v>7.2226868088293095E-2</v>
      </c>
      <c r="L182" s="44">
        <v>7.2226868088293095E-2</v>
      </c>
      <c r="M182" s="44">
        <v>7.2226868088293095E-2</v>
      </c>
      <c r="N182" s="44">
        <v>7.2226868088293095E-2</v>
      </c>
      <c r="O182" s="44">
        <v>7.2226868088293095E-2</v>
      </c>
      <c r="P182" s="44">
        <v>7.2226868088293095E-2</v>
      </c>
      <c r="Q182" s="44">
        <v>7.2226868088293095E-2</v>
      </c>
      <c r="R182" s="44">
        <v>7.2226868088293095E-2</v>
      </c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</row>
    <row r="183" spans="1:34" ht="15.75" customHeight="1" x14ac:dyDescent="0.25">
      <c r="A183" s="106" t="s">
        <v>247</v>
      </c>
      <c r="B183" s="227">
        <v>8.59462824392432E-3</v>
      </c>
      <c r="C183" s="227">
        <v>5.4527601960244101E-2</v>
      </c>
      <c r="D183" s="44">
        <v>5.4527601960244101E-2</v>
      </c>
      <c r="E183" s="44">
        <v>0</v>
      </c>
      <c r="F183" s="44">
        <v>0</v>
      </c>
      <c r="G183" s="44">
        <v>5.4527601960244101E-2</v>
      </c>
      <c r="H183" s="44">
        <v>5.4527601960244101E-2</v>
      </c>
      <c r="I183" s="44">
        <v>5.4527601960244101E-2</v>
      </c>
      <c r="J183" s="44">
        <v>5.4527601960244101E-2</v>
      </c>
      <c r="K183" s="44">
        <v>5.4527601960244101E-2</v>
      </c>
      <c r="L183" s="44">
        <v>5.4527601960244101E-2</v>
      </c>
      <c r="M183" s="44">
        <v>5.4527601960244101E-2</v>
      </c>
      <c r="N183" s="44">
        <v>5.4527601960244101E-2</v>
      </c>
      <c r="O183" s="44">
        <v>5.4527601960244101E-2</v>
      </c>
      <c r="P183" s="44">
        <v>5.4527601960244101E-2</v>
      </c>
      <c r="Q183" s="44">
        <v>5.4527601960244101E-2</v>
      </c>
      <c r="R183" s="44">
        <v>5.4527601960244101E-2</v>
      </c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</row>
    <row r="184" spans="1:34" ht="15.75" customHeight="1" x14ac:dyDescent="0.25">
      <c r="A184" s="106" t="s">
        <v>248</v>
      </c>
      <c r="B184" s="227">
        <v>1.94235679619079E-2</v>
      </c>
      <c r="C184" s="227">
        <v>4.4122207848037699E-2</v>
      </c>
      <c r="D184" s="44">
        <v>4.4122207848037699E-2</v>
      </c>
      <c r="E184" s="44">
        <v>0</v>
      </c>
      <c r="F184" s="44">
        <v>0</v>
      </c>
      <c r="G184" s="44">
        <v>4.4122207848037699E-2</v>
      </c>
      <c r="H184" s="44">
        <v>4.4122207848037699E-2</v>
      </c>
      <c r="I184" s="44">
        <v>4.4122207848037699E-2</v>
      </c>
      <c r="J184" s="44">
        <v>4.4122207848037699E-2</v>
      </c>
      <c r="K184" s="44">
        <v>4.4122207848037699E-2</v>
      </c>
      <c r="L184" s="44">
        <v>4.4122207848037699E-2</v>
      </c>
      <c r="M184" s="44">
        <v>4.4122207848037699E-2</v>
      </c>
      <c r="N184" s="44">
        <v>4.4122207848037699E-2</v>
      </c>
      <c r="O184" s="44">
        <v>4.4122207848037699E-2</v>
      </c>
      <c r="P184" s="44">
        <v>4.4122207848037699E-2</v>
      </c>
      <c r="Q184" s="44">
        <v>4.4122207848037699E-2</v>
      </c>
      <c r="R184" s="44">
        <v>4.4122207848037699E-2</v>
      </c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</row>
    <row r="185" spans="1:34" ht="15.75" customHeight="1" x14ac:dyDescent="0.25">
      <c r="A185" s="106" t="s">
        <v>249</v>
      </c>
      <c r="B185" s="227">
        <v>3.9873808391657203E-2</v>
      </c>
      <c r="C185" s="227">
        <v>7.1541239240185905E-2</v>
      </c>
      <c r="D185" s="44">
        <v>7.1541239240185905E-2</v>
      </c>
      <c r="E185" s="44">
        <v>0</v>
      </c>
      <c r="F185" s="44">
        <v>0</v>
      </c>
      <c r="G185" s="44">
        <v>7.1541239240185905E-2</v>
      </c>
      <c r="H185" s="44">
        <v>7.1541239240185905E-2</v>
      </c>
      <c r="I185" s="44">
        <v>7.1541239240185905E-2</v>
      </c>
      <c r="J185" s="44">
        <v>7.1541239240185905E-2</v>
      </c>
      <c r="K185" s="44">
        <v>7.1541239240185905E-2</v>
      </c>
      <c r="L185" s="44">
        <v>7.1541239240185905E-2</v>
      </c>
      <c r="M185" s="44">
        <v>7.1541239240185905E-2</v>
      </c>
      <c r="N185" s="44">
        <v>7.1541239240185905E-2</v>
      </c>
      <c r="O185" s="44">
        <v>7.1541239240185905E-2</v>
      </c>
      <c r="P185" s="44">
        <v>7.1541239240185905E-2</v>
      </c>
      <c r="Q185" s="44">
        <v>7.1541239240185905E-2</v>
      </c>
      <c r="R185" s="44">
        <v>7.1541239240185905E-2</v>
      </c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</row>
    <row r="186" spans="1:34" ht="15.75" customHeight="1" x14ac:dyDescent="0.25">
      <c r="A186" s="103" t="s">
        <v>250</v>
      </c>
      <c r="B186" s="228"/>
      <c r="C186" s="228"/>
      <c r="D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</row>
    <row r="187" spans="1:34" ht="15.75" customHeight="1" x14ac:dyDescent="0.25">
      <c r="A187" s="107" t="s">
        <v>245</v>
      </c>
      <c r="B187" s="227">
        <v>0</v>
      </c>
      <c r="C187" s="227">
        <v>0</v>
      </c>
      <c r="D187" s="44">
        <v>0</v>
      </c>
      <c r="E187" s="44">
        <v>0</v>
      </c>
      <c r="F187" s="44">
        <v>0</v>
      </c>
      <c r="G187" s="44">
        <v>0</v>
      </c>
      <c r="H187" s="44">
        <v>0</v>
      </c>
      <c r="I187" s="44">
        <v>0</v>
      </c>
      <c r="J187" s="44">
        <v>0</v>
      </c>
      <c r="K187" s="44">
        <v>0</v>
      </c>
      <c r="L187" s="44">
        <v>0</v>
      </c>
      <c r="M187" s="44">
        <v>0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</row>
    <row r="188" spans="1:34" ht="15.75" customHeight="1" x14ac:dyDescent="0.25">
      <c r="A188" s="107" t="s">
        <v>246</v>
      </c>
      <c r="B188" s="227">
        <v>0</v>
      </c>
      <c r="C188" s="227">
        <v>0</v>
      </c>
      <c r="D188" s="44">
        <v>0</v>
      </c>
      <c r="E188" s="44">
        <v>0</v>
      </c>
      <c r="F188" s="44">
        <v>0</v>
      </c>
      <c r="G188" s="44">
        <v>0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</row>
    <row r="189" spans="1:34" ht="15.75" customHeight="1" x14ac:dyDescent="0.25">
      <c r="A189" s="107" t="s">
        <v>247</v>
      </c>
      <c r="B189" s="227">
        <v>0</v>
      </c>
      <c r="C189" s="227">
        <v>0</v>
      </c>
      <c r="D189" s="44">
        <v>0</v>
      </c>
      <c r="E189" s="44">
        <v>0</v>
      </c>
      <c r="F189" s="44">
        <v>0</v>
      </c>
      <c r="G189" s="44">
        <v>0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</row>
    <row r="190" spans="1:34" ht="15.75" customHeight="1" x14ac:dyDescent="0.25">
      <c r="A190" s="107" t="s">
        <v>248</v>
      </c>
      <c r="B190" s="227">
        <v>0</v>
      </c>
      <c r="C190" s="227">
        <v>0</v>
      </c>
      <c r="D190" s="44">
        <v>0</v>
      </c>
      <c r="E190" s="44">
        <v>0</v>
      </c>
      <c r="F190" s="44">
        <v>0</v>
      </c>
      <c r="G190" s="44">
        <v>0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</row>
    <row r="191" spans="1:34" ht="15.75" customHeight="1" x14ac:dyDescent="0.25">
      <c r="A191" s="107" t="s">
        <v>249</v>
      </c>
      <c r="B191" s="227">
        <v>0</v>
      </c>
      <c r="C191" s="227">
        <v>0</v>
      </c>
      <c r="D191" s="44">
        <v>0</v>
      </c>
      <c r="E191" s="44">
        <v>0</v>
      </c>
      <c r="F191" s="44">
        <v>0</v>
      </c>
      <c r="G191" s="44">
        <v>0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</row>
    <row r="192" spans="1:34" ht="15.75" customHeight="1" x14ac:dyDescent="0.25">
      <c r="A192" s="108" t="s">
        <v>251</v>
      </c>
      <c r="B192" s="228"/>
      <c r="C192" s="228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</row>
    <row r="193" spans="1:34" ht="15.75" customHeight="1" x14ac:dyDescent="0.25">
      <c r="A193" s="107" t="s">
        <v>245</v>
      </c>
      <c r="B193" s="227">
        <v>4.33427061003459E-3</v>
      </c>
      <c r="C193" s="227">
        <v>9.7805309370158893E-3</v>
      </c>
      <c r="D193" s="44">
        <v>9.7805309370158893E-3</v>
      </c>
      <c r="E193" s="44">
        <v>0</v>
      </c>
      <c r="F193" s="44">
        <v>0</v>
      </c>
      <c r="G193" s="44">
        <v>9.7805309370158893E-3</v>
      </c>
      <c r="H193" s="44">
        <v>9.7805309370158893E-3</v>
      </c>
      <c r="I193" s="44">
        <v>9.7805309370158893E-3</v>
      </c>
      <c r="J193" s="44">
        <v>9.7805309370158893E-3</v>
      </c>
      <c r="K193" s="44">
        <v>9.7805309370158893E-3</v>
      </c>
      <c r="L193" s="44">
        <v>9.7805309370158893E-3</v>
      </c>
      <c r="M193" s="44">
        <v>9.7805309370158893E-3</v>
      </c>
      <c r="N193" s="44">
        <v>9.7805309370158893E-3</v>
      </c>
      <c r="O193" s="44">
        <v>9.7805309370158893E-3</v>
      </c>
      <c r="P193" s="44">
        <v>9.7805309370158893E-3</v>
      </c>
      <c r="Q193" s="44">
        <v>9.7805309370158893E-3</v>
      </c>
      <c r="R193" s="44">
        <v>9.7805309370158893E-3</v>
      </c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</row>
    <row r="194" spans="1:34" ht="15.75" customHeight="1" x14ac:dyDescent="0.25">
      <c r="A194" s="107" t="s">
        <v>246</v>
      </c>
      <c r="B194" s="227">
        <v>2.1953290779956499E-2</v>
      </c>
      <c r="C194" s="227">
        <v>3.0545795800415599E-2</v>
      </c>
      <c r="D194" s="44">
        <v>3.0545795800415599E-2</v>
      </c>
      <c r="E194" s="44">
        <v>0</v>
      </c>
      <c r="F194" s="44">
        <v>0</v>
      </c>
      <c r="G194" s="44">
        <v>3.0545795800415599E-2</v>
      </c>
      <c r="H194" s="44">
        <v>3.0545795800415599E-2</v>
      </c>
      <c r="I194" s="44">
        <v>3.0545795800415599E-2</v>
      </c>
      <c r="J194" s="44">
        <v>3.0545795800415599E-2</v>
      </c>
      <c r="K194" s="44">
        <v>3.0545795800415599E-2</v>
      </c>
      <c r="L194" s="44">
        <v>3.0545795800415599E-2</v>
      </c>
      <c r="M194" s="44">
        <v>3.0545795800415599E-2</v>
      </c>
      <c r="N194" s="44">
        <v>3.0545795800415599E-2</v>
      </c>
      <c r="O194" s="44">
        <v>3.0545795800415599E-2</v>
      </c>
      <c r="P194" s="44">
        <v>3.0545795800415599E-2</v>
      </c>
      <c r="Q194" s="44">
        <v>3.0545795800415599E-2</v>
      </c>
      <c r="R194" s="44">
        <v>3.0545795800415599E-2</v>
      </c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</row>
    <row r="195" spans="1:34" ht="15.75" customHeight="1" x14ac:dyDescent="0.25">
      <c r="A195" s="107" t="s">
        <v>247</v>
      </c>
      <c r="B195" s="227">
        <v>2.5375451485255999E-2</v>
      </c>
      <c r="C195" s="227">
        <v>1.5085281250836999E-2</v>
      </c>
      <c r="D195" s="44">
        <v>1.5085281250836999E-2</v>
      </c>
      <c r="E195" s="44">
        <v>0</v>
      </c>
      <c r="F195" s="44">
        <v>0</v>
      </c>
      <c r="G195" s="44">
        <v>1.5085281250836999E-2</v>
      </c>
      <c r="H195" s="44">
        <v>1.5085281250836999E-2</v>
      </c>
      <c r="I195" s="44">
        <v>1.5085281250836999E-2</v>
      </c>
      <c r="J195" s="44">
        <v>1.5085281250836999E-2</v>
      </c>
      <c r="K195" s="44">
        <v>1.5085281250836999E-2</v>
      </c>
      <c r="L195" s="44">
        <v>1.5085281250836999E-2</v>
      </c>
      <c r="M195" s="44">
        <v>1.5085281250836999E-2</v>
      </c>
      <c r="N195" s="44">
        <v>1.5085281250836999E-2</v>
      </c>
      <c r="O195" s="44">
        <v>1.5085281250836999E-2</v>
      </c>
      <c r="P195" s="44">
        <v>1.5085281250836999E-2</v>
      </c>
      <c r="Q195" s="44">
        <v>1.5085281250836999E-2</v>
      </c>
      <c r="R195" s="44">
        <v>1.5085281250836999E-2</v>
      </c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</row>
    <row r="196" spans="1:34" ht="15.75" customHeight="1" x14ac:dyDescent="0.25">
      <c r="A196" s="107" t="s">
        <v>248</v>
      </c>
      <c r="B196" s="227">
        <v>1.08158724337356E-2</v>
      </c>
      <c r="C196" s="227">
        <v>1.6321765924539301E-2</v>
      </c>
      <c r="D196" s="44">
        <v>1.6321765924539301E-2</v>
      </c>
      <c r="E196" s="44">
        <v>0</v>
      </c>
      <c r="F196" s="44">
        <v>0</v>
      </c>
      <c r="G196" s="44">
        <v>1.6321765924539301E-2</v>
      </c>
      <c r="H196" s="44">
        <v>1.6321765924539301E-2</v>
      </c>
      <c r="I196" s="44">
        <v>1.6321765924539301E-2</v>
      </c>
      <c r="J196" s="44">
        <v>1.6321765924539301E-2</v>
      </c>
      <c r="K196" s="44">
        <v>1.6321765924539301E-2</v>
      </c>
      <c r="L196" s="44">
        <v>1.6321765924539301E-2</v>
      </c>
      <c r="M196" s="44">
        <v>1.6321765924539301E-2</v>
      </c>
      <c r="N196" s="44">
        <v>1.6321765924539301E-2</v>
      </c>
      <c r="O196" s="44">
        <v>1.6321765924539301E-2</v>
      </c>
      <c r="P196" s="44">
        <v>1.6321765924539301E-2</v>
      </c>
      <c r="Q196" s="44">
        <v>1.6321765924539301E-2</v>
      </c>
      <c r="R196" s="44">
        <v>1.6321765924539301E-2</v>
      </c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</row>
    <row r="197" spans="1:34" ht="15.75" customHeight="1" x14ac:dyDescent="0.25">
      <c r="A197" s="107" t="s">
        <v>249</v>
      </c>
      <c r="B197" s="227">
        <v>1.0890999470972801E-2</v>
      </c>
      <c r="C197" s="227">
        <v>2.7220182466985401E-2</v>
      </c>
      <c r="D197" s="44">
        <v>2.7220182466985401E-2</v>
      </c>
      <c r="E197" s="44">
        <v>0</v>
      </c>
      <c r="F197" s="44">
        <v>0</v>
      </c>
      <c r="G197" s="44">
        <v>2.7220182466985401E-2</v>
      </c>
      <c r="H197" s="44">
        <v>2.7220182466985401E-2</v>
      </c>
      <c r="I197" s="44">
        <v>2.7220182466985401E-2</v>
      </c>
      <c r="J197" s="44">
        <v>2.7220182466985401E-2</v>
      </c>
      <c r="K197" s="44">
        <v>2.7220182466985401E-2</v>
      </c>
      <c r="L197" s="44">
        <v>2.7220182466985401E-2</v>
      </c>
      <c r="M197" s="44">
        <v>2.7220182466985401E-2</v>
      </c>
      <c r="N197" s="44">
        <v>2.7220182466985401E-2</v>
      </c>
      <c r="O197" s="44">
        <v>2.7220182466985401E-2</v>
      </c>
      <c r="P197" s="44">
        <v>2.7220182466985401E-2</v>
      </c>
      <c r="Q197" s="44">
        <v>2.7220182466985401E-2</v>
      </c>
      <c r="R197" s="44">
        <v>2.7220182466985401E-2</v>
      </c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</row>
    <row r="198" spans="1:34" ht="15.75" customHeight="1" x14ac:dyDescent="0.25"/>
    <row r="199" spans="1:34" ht="15.75" customHeight="1" x14ac:dyDescent="0.25"/>
    <row r="200" spans="1:34" ht="15.75" customHeight="1" x14ac:dyDescent="0.25">
      <c r="A200" s="109" t="s">
        <v>252</v>
      </c>
      <c r="B200" s="110"/>
      <c r="C200" s="110"/>
      <c r="D200" s="110"/>
    </row>
    <row r="201" spans="1:34" ht="15.75" customHeight="1" x14ac:dyDescent="0.25">
      <c r="A201" s="111" t="s">
        <v>253</v>
      </c>
      <c r="B201" s="14" t="s">
        <v>254</v>
      </c>
      <c r="C201" s="220">
        <v>8.0799999999999997E-2</v>
      </c>
      <c r="D201" s="42"/>
    </row>
    <row r="202" spans="1:34" ht="15.75" customHeight="1" x14ac:dyDescent="0.25">
      <c r="A202" s="111" t="s">
        <v>255</v>
      </c>
      <c r="B202" s="14" t="s">
        <v>195</v>
      </c>
      <c r="C202" s="191"/>
      <c r="D202" s="42"/>
    </row>
    <row r="203" spans="1:34" ht="15.75" customHeight="1" x14ac:dyDescent="0.25">
      <c r="A203" s="111" t="s">
        <v>256</v>
      </c>
      <c r="B203" s="14" t="s">
        <v>254</v>
      </c>
      <c r="C203" s="191"/>
      <c r="D203" s="42"/>
    </row>
    <row r="204" spans="1:34" ht="15.75" customHeight="1" x14ac:dyDescent="0.25">
      <c r="A204" s="111" t="s">
        <v>257</v>
      </c>
      <c r="B204" s="14" t="s">
        <v>254</v>
      </c>
      <c r="C204" s="220">
        <v>5.2880000000000002E-3</v>
      </c>
      <c r="D204" s="42"/>
    </row>
    <row r="205" spans="1:34" ht="15.75" customHeight="1" x14ac:dyDescent="0.25">
      <c r="A205" s="111" t="s">
        <v>258</v>
      </c>
      <c r="B205" s="14" t="s">
        <v>254</v>
      </c>
      <c r="C205" s="220">
        <v>0.4</v>
      </c>
      <c r="D205" s="42"/>
    </row>
    <row r="206" spans="1:34" ht="15.75" customHeight="1" x14ac:dyDescent="0.25">
      <c r="A206" s="111" t="s">
        <v>259</v>
      </c>
      <c r="B206" s="14" t="s">
        <v>254</v>
      </c>
      <c r="C206" s="191"/>
      <c r="D206" s="42"/>
    </row>
    <row r="207" spans="1:34" ht="15.75" customHeight="1" x14ac:dyDescent="0.25">
      <c r="A207" s="111" t="s">
        <v>261</v>
      </c>
      <c r="B207" s="41" t="s">
        <v>82</v>
      </c>
      <c r="C207" s="229">
        <v>0</v>
      </c>
    </row>
    <row r="208" spans="1:34" ht="15.75" customHeight="1" x14ac:dyDescent="0.25">
      <c r="A208" s="111" t="s">
        <v>262</v>
      </c>
      <c r="B208" s="41" t="s">
        <v>82</v>
      </c>
      <c r="C208" s="229">
        <v>0</v>
      </c>
    </row>
    <row r="209" spans="1:4" ht="15.75" customHeight="1" x14ac:dyDescent="0.25">
      <c r="A209" s="109" t="s">
        <v>315</v>
      </c>
      <c r="B209" s="110"/>
      <c r="C209" s="110"/>
    </row>
    <row r="210" spans="1:4" ht="15.75" customHeight="1" x14ac:dyDescent="0.25">
      <c r="A210" s="111" t="s">
        <v>304</v>
      </c>
      <c r="B210" s="14" t="s">
        <v>80</v>
      </c>
      <c r="C210" s="191"/>
    </row>
    <row r="211" spans="1:4" ht="15.75" customHeight="1" x14ac:dyDescent="0.25">
      <c r="A211" s="111" t="s">
        <v>262</v>
      </c>
      <c r="B211" s="14" t="s">
        <v>82</v>
      </c>
      <c r="C211" s="191"/>
    </row>
    <row r="212" spans="1:4" ht="15.75" customHeight="1" x14ac:dyDescent="0.25">
      <c r="A212" s="230" t="s">
        <v>305</v>
      </c>
      <c r="B212" s="14" t="s">
        <v>80</v>
      </c>
      <c r="C212" s="231"/>
    </row>
    <row r="213" spans="1:4" ht="15.75" customHeight="1" x14ac:dyDescent="0.25">
      <c r="A213" s="109" t="s">
        <v>264</v>
      </c>
      <c r="B213" s="110"/>
      <c r="C213" s="110"/>
    </row>
    <row r="214" spans="1:4" ht="15.75" customHeight="1" x14ac:dyDescent="0.25">
      <c r="A214" s="111" t="s">
        <v>303</v>
      </c>
      <c r="B214" s="14" t="s">
        <v>195</v>
      </c>
      <c r="C214" s="191"/>
    </row>
    <row r="215" spans="1:4" ht="15.75" customHeight="1" x14ac:dyDescent="0.25">
      <c r="A215" s="318" t="s">
        <v>267</v>
      </c>
      <c r="B215" s="294"/>
      <c r="C215" s="319"/>
    </row>
    <row r="216" spans="1:4" ht="15.75" customHeight="1" x14ac:dyDescent="0.25">
      <c r="A216" s="111" t="s">
        <v>268</v>
      </c>
      <c r="B216" s="14" t="s">
        <v>269</v>
      </c>
      <c r="C216" s="191"/>
    </row>
    <row r="217" spans="1:4" ht="15.75" customHeight="1" x14ac:dyDescent="0.25">
      <c r="A217" s="114" t="s">
        <v>270</v>
      </c>
      <c r="B217" s="41" t="s">
        <v>269</v>
      </c>
      <c r="C217" s="232"/>
    </row>
    <row r="218" spans="1:4" ht="15.75" customHeight="1" x14ac:dyDescent="0.25">
      <c r="A218" s="116" t="s">
        <v>316</v>
      </c>
      <c r="B218" s="233" t="s">
        <v>269</v>
      </c>
      <c r="C218" s="234"/>
    </row>
    <row r="219" spans="1:4" ht="15.75" customHeight="1" x14ac:dyDescent="0.25"/>
    <row r="220" spans="1:4" ht="15.75" customHeight="1" x14ac:dyDescent="0.25"/>
    <row r="221" spans="1:4" ht="15.75" customHeight="1" x14ac:dyDescent="0.25"/>
    <row r="222" spans="1:4" ht="15.75" customHeight="1" x14ac:dyDescent="0.25">
      <c r="A222" s="235" t="s">
        <v>317</v>
      </c>
      <c r="B222" s="236"/>
      <c r="C222" s="237"/>
    </row>
    <row r="223" spans="1:4" ht="15.75" customHeight="1" x14ac:dyDescent="0.25">
      <c r="A223" s="238" t="s">
        <v>318</v>
      </c>
      <c r="B223" s="239"/>
      <c r="C223" s="240"/>
    </row>
    <row r="224" spans="1:4" ht="15.75" customHeight="1" x14ac:dyDescent="0.25">
      <c r="A224" s="241" t="s">
        <v>319</v>
      </c>
      <c r="B224" s="242" t="s">
        <v>8</v>
      </c>
      <c r="C224" s="232"/>
      <c r="D224" s="86" t="s">
        <v>320</v>
      </c>
    </row>
    <row r="225" spans="1:19" ht="15.75" customHeight="1" x14ac:dyDescent="0.25">
      <c r="A225" s="241" t="s">
        <v>321</v>
      </c>
      <c r="B225" s="242" t="s">
        <v>8</v>
      </c>
      <c r="C225" s="232"/>
      <c r="D225" s="86" t="s">
        <v>322</v>
      </c>
    </row>
    <row r="226" spans="1:19" ht="15.75" customHeight="1" x14ac:dyDescent="0.25">
      <c r="A226" s="243" t="s">
        <v>323</v>
      </c>
      <c r="B226" s="244" t="s">
        <v>8</v>
      </c>
      <c r="C226" s="234"/>
      <c r="D226" s="86" t="s">
        <v>324</v>
      </c>
    </row>
    <row r="227" spans="1:19" ht="15.75" customHeight="1" x14ac:dyDescent="0.25"/>
    <row r="228" spans="1:19" ht="15.75" customHeight="1" x14ac:dyDescent="0.25"/>
    <row r="229" spans="1:19" ht="15.75" customHeight="1" thickBot="1" x14ac:dyDescent="0.3"/>
    <row r="230" spans="1:19" ht="15.75" customHeight="1" x14ac:dyDescent="0.25">
      <c r="A230" s="331" t="s">
        <v>271</v>
      </c>
      <c r="B230" s="332"/>
      <c r="C230" s="291" t="s">
        <v>228</v>
      </c>
      <c r="D230" s="291" t="s">
        <v>388</v>
      </c>
      <c r="E230" s="291" t="s">
        <v>389</v>
      </c>
      <c r="F230" s="291" t="s">
        <v>390</v>
      </c>
      <c r="G230" s="291" t="s">
        <v>391</v>
      </c>
      <c r="H230" s="291" t="s">
        <v>272</v>
      </c>
      <c r="I230" s="291" t="s">
        <v>392</v>
      </c>
      <c r="J230" s="291" t="s">
        <v>393</v>
      </c>
      <c r="K230" s="291" t="s">
        <v>394</v>
      </c>
      <c r="L230" s="291" t="s">
        <v>395</v>
      </c>
      <c r="M230" s="291" t="s">
        <v>396</v>
      </c>
      <c r="N230" s="291" t="s">
        <v>397</v>
      </c>
      <c r="O230" s="291" t="s">
        <v>398</v>
      </c>
      <c r="P230" s="291" t="s">
        <v>399</v>
      </c>
      <c r="Q230" s="291" t="s">
        <v>400</v>
      </c>
      <c r="R230" s="291" t="s">
        <v>401</v>
      </c>
      <c r="S230" s="291" t="s">
        <v>402</v>
      </c>
    </row>
    <row r="231" spans="1:19" ht="15.75" customHeight="1" x14ac:dyDescent="0.25">
      <c r="A231" s="245" t="s">
        <v>273</v>
      </c>
      <c r="B231" s="330" t="s">
        <v>245</v>
      </c>
      <c r="C231" s="246" t="s">
        <v>325</v>
      </c>
      <c r="D231" s="246" t="s">
        <v>325</v>
      </c>
      <c r="E231" s="247" t="s">
        <v>325</v>
      </c>
      <c r="F231" s="247" t="s">
        <v>325</v>
      </c>
      <c r="G231" s="247" t="s">
        <v>325</v>
      </c>
      <c r="H231" s="247" t="s">
        <v>325</v>
      </c>
      <c r="I231" s="247" t="s">
        <v>325</v>
      </c>
      <c r="J231" s="247" t="s">
        <v>325</v>
      </c>
      <c r="K231" s="247" t="s">
        <v>325</v>
      </c>
      <c r="L231" s="247" t="s">
        <v>325</v>
      </c>
      <c r="M231" s="247" t="s">
        <v>325</v>
      </c>
      <c r="N231" s="247" t="s">
        <v>325</v>
      </c>
      <c r="O231" s="247" t="s">
        <v>325</v>
      </c>
      <c r="P231" s="247" t="s">
        <v>325</v>
      </c>
      <c r="Q231" s="247" t="s">
        <v>325</v>
      </c>
    </row>
    <row r="232" spans="1:19" ht="15.75" customHeight="1" x14ac:dyDescent="0.25">
      <c r="A232" s="245" t="s">
        <v>276</v>
      </c>
      <c r="B232" s="312"/>
      <c r="C232" s="246" t="s">
        <v>325</v>
      </c>
      <c r="D232" s="246" t="s">
        <v>325</v>
      </c>
      <c r="E232" s="247" t="s">
        <v>325</v>
      </c>
      <c r="F232" s="247" t="s">
        <v>325</v>
      </c>
      <c r="G232" s="247" t="s">
        <v>325</v>
      </c>
      <c r="H232" s="247" t="s">
        <v>325</v>
      </c>
      <c r="I232" s="247" t="s">
        <v>325</v>
      </c>
      <c r="J232" s="247" t="s">
        <v>325</v>
      </c>
      <c r="K232" s="247" t="s">
        <v>325</v>
      </c>
      <c r="L232" s="247" t="s">
        <v>325</v>
      </c>
      <c r="M232" s="247" t="s">
        <v>325</v>
      </c>
      <c r="N232" s="247" t="s">
        <v>325</v>
      </c>
      <c r="O232" s="247" t="s">
        <v>325</v>
      </c>
      <c r="P232" s="247" t="s">
        <v>325</v>
      </c>
      <c r="Q232" s="247" t="s">
        <v>325</v>
      </c>
    </row>
    <row r="233" spans="1:19" ht="15.75" customHeight="1" x14ac:dyDescent="0.25">
      <c r="A233" s="245" t="s">
        <v>277</v>
      </c>
      <c r="B233" s="312"/>
      <c r="C233" s="246" t="s">
        <v>325</v>
      </c>
      <c r="D233" s="246" t="s">
        <v>325</v>
      </c>
      <c r="E233" s="247" t="s">
        <v>325</v>
      </c>
      <c r="F233" s="247" t="s">
        <v>325</v>
      </c>
      <c r="G233" s="247" t="s">
        <v>325</v>
      </c>
      <c r="H233" s="247" t="s">
        <v>325</v>
      </c>
      <c r="I233" s="247" t="s">
        <v>325</v>
      </c>
      <c r="J233" s="247" t="s">
        <v>325</v>
      </c>
      <c r="K233" s="247" t="s">
        <v>325</v>
      </c>
      <c r="L233" s="247" t="s">
        <v>325</v>
      </c>
      <c r="M233" s="247" t="s">
        <v>325</v>
      </c>
      <c r="N233" s="247" t="s">
        <v>325</v>
      </c>
      <c r="O233" s="247" t="s">
        <v>325</v>
      </c>
      <c r="P233" s="247" t="s">
        <v>325</v>
      </c>
      <c r="Q233" s="247" t="s">
        <v>325</v>
      </c>
    </row>
    <row r="234" spans="1:19" ht="15.75" customHeight="1" x14ac:dyDescent="0.25">
      <c r="A234" s="245" t="s">
        <v>278</v>
      </c>
      <c r="B234" s="312"/>
      <c r="C234" s="246" t="s">
        <v>325</v>
      </c>
      <c r="D234" s="246" t="s">
        <v>325</v>
      </c>
      <c r="E234" s="247" t="s">
        <v>325</v>
      </c>
      <c r="F234" s="247" t="s">
        <v>325</v>
      </c>
      <c r="G234" s="247" t="s">
        <v>325</v>
      </c>
      <c r="H234" s="247" t="s">
        <v>325</v>
      </c>
      <c r="I234" s="247" t="s">
        <v>325</v>
      </c>
      <c r="J234" s="247" t="s">
        <v>325</v>
      </c>
      <c r="K234" s="247" t="s">
        <v>325</v>
      </c>
      <c r="L234" s="247" t="s">
        <v>325</v>
      </c>
      <c r="M234" s="247" t="s">
        <v>325</v>
      </c>
      <c r="N234" s="247" t="s">
        <v>325</v>
      </c>
      <c r="O234" s="247" t="s">
        <v>325</v>
      </c>
      <c r="P234" s="247" t="s">
        <v>325</v>
      </c>
      <c r="Q234" s="247" t="s">
        <v>325</v>
      </c>
    </row>
    <row r="235" spans="1:19" ht="15.75" customHeight="1" x14ac:dyDescent="0.25">
      <c r="A235" s="245" t="s">
        <v>279</v>
      </c>
      <c r="B235" s="321"/>
      <c r="C235" s="246" t="s">
        <v>325</v>
      </c>
      <c r="D235" s="246" t="s">
        <v>325</v>
      </c>
      <c r="E235" s="247" t="s">
        <v>325</v>
      </c>
      <c r="F235" s="247" t="s">
        <v>325</v>
      </c>
      <c r="G235" s="247" t="s">
        <v>325</v>
      </c>
      <c r="H235" s="247" t="s">
        <v>325</v>
      </c>
      <c r="I235" s="247" t="s">
        <v>325</v>
      </c>
      <c r="J235" s="247" t="s">
        <v>325</v>
      </c>
      <c r="K235" s="247" t="s">
        <v>325</v>
      </c>
      <c r="L235" s="247" t="s">
        <v>325</v>
      </c>
      <c r="M235" s="247" t="s">
        <v>325</v>
      </c>
      <c r="N235" s="247" t="s">
        <v>325</v>
      </c>
      <c r="O235" s="247" t="s">
        <v>325</v>
      </c>
      <c r="P235" s="247" t="s">
        <v>325</v>
      </c>
      <c r="Q235" s="247" t="s">
        <v>325</v>
      </c>
    </row>
    <row r="236" spans="1:19" ht="15.75" customHeight="1" x14ac:dyDescent="0.25">
      <c r="A236" s="245" t="s">
        <v>273</v>
      </c>
      <c r="B236" s="330" t="s">
        <v>246</v>
      </c>
      <c r="C236" s="246" t="s">
        <v>325</v>
      </c>
      <c r="D236" s="246" t="s">
        <v>325</v>
      </c>
      <c r="E236" s="247" t="s">
        <v>325</v>
      </c>
      <c r="F236" s="247" t="s">
        <v>325</v>
      </c>
      <c r="G236" s="247" t="s">
        <v>325</v>
      </c>
      <c r="H236" s="247" t="s">
        <v>325</v>
      </c>
      <c r="I236" s="247" t="s">
        <v>325</v>
      </c>
      <c r="J236" s="247" t="s">
        <v>325</v>
      </c>
      <c r="K236" s="247" t="s">
        <v>325</v>
      </c>
      <c r="L236" s="247" t="s">
        <v>325</v>
      </c>
      <c r="M236" s="247" t="s">
        <v>325</v>
      </c>
      <c r="N236" s="247" t="s">
        <v>325</v>
      </c>
      <c r="O236" s="247" t="s">
        <v>325</v>
      </c>
      <c r="P236" s="247" t="s">
        <v>325</v>
      </c>
      <c r="Q236" s="247" t="s">
        <v>325</v>
      </c>
    </row>
    <row r="237" spans="1:19" ht="15.75" customHeight="1" x14ac:dyDescent="0.25">
      <c r="A237" s="245" t="s">
        <v>276</v>
      </c>
      <c r="B237" s="312"/>
      <c r="C237" s="246" t="s">
        <v>325</v>
      </c>
      <c r="D237" s="246" t="s">
        <v>325</v>
      </c>
      <c r="E237" s="247" t="s">
        <v>325</v>
      </c>
      <c r="F237" s="247" t="s">
        <v>325</v>
      </c>
      <c r="G237" s="247" t="s">
        <v>325</v>
      </c>
      <c r="H237" s="247" t="s">
        <v>325</v>
      </c>
      <c r="I237" s="247" t="s">
        <v>325</v>
      </c>
      <c r="J237" s="247" t="s">
        <v>325</v>
      </c>
      <c r="K237" s="247" t="s">
        <v>325</v>
      </c>
      <c r="L237" s="247" t="s">
        <v>325</v>
      </c>
      <c r="M237" s="247" t="s">
        <v>325</v>
      </c>
      <c r="N237" s="247" t="s">
        <v>325</v>
      </c>
      <c r="O237" s="247" t="s">
        <v>325</v>
      </c>
      <c r="P237" s="247" t="s">
        <v>325</v>
      </c>
      <c r="Q237" s="247" t="s">
        <v>325</v>
      </c>
    </row>
    <row r="238" spans="1:19" ht="15.75" customHeight="1" x14ac:dyDescent="0.25">
      <c r="A238" s="245" t="s">
        <v>277</v>
      </c>
      <c r="B238" s="312"/>
      <c r="C238" s="246" t="s">
        <v>325</v>
      </c>
      <c r="D238" s="246" t="s">
        <v>325</v>
      </c>
      <c r="E238" s="247" t="s">
        <v>325</v>
      </c>
      <c r="F238" s="247" t="s">
        <v>325</v>
      </c>
      <c r="G238" s="247" t="s">
        <v>325</v>
      </c>
      <c r="H238" s="247" t="s">
        <v>325</v>
      </c>
      <c r="I238" s="247" t="s">
        <v>325</v>
      </c>
      <c r="J238" s="247" t="s">
        <v>325</v>
      </c>
      <c r="K238" s="247" t="s">
        <v>325</v>
      </c>
      <c r="L238" s="247" t="s">
        <v>325</v>
      </c>
      <c r="M238" s="247" t="s">
        <v>325</v>
      </c>
      <c r="N238" s="247" t="s">
        <v>325</v>
      </c>
      <c r="O238" s="247" t="s">
        <v>325</v>
      </c>
      <c r="P238" s="247" t="s">
        <v>325</v>
      </c>
      <c r="Q238" s="247" t="s">
        <v>325</v>
      </c>
    </row>
    <row r="239" spans="1:19" ht="15.75" customHeight="1" x14ac:dyDescent="0.25">
      <c r="A239" s="245" t="s">
        <v>278</v>
      </c>
      <c r="B239" s="312"/>
      <c r="C239" s="246" t="s">
        <v>325</v>
      </c>
      <c r="D239" s="246" t="s">
        <v>325</v>
      </c>
      <c r="E239" s="247" t="s">
        <v>325</v>
      </c>
      <c r="F239" s="247" t="s">
        <v>325</v>
      </c>
      <c r="G239" s="247" t="s">
        <v>325</v>
      </c>
      <c r="H239" s="247" t="s">
        <v>325</v>
      </c>
      <c r="I239" s="247" t="s">
        <v>325</v>
      </c>
      <c r="J239" s="247" t="s">
        <v>325</v>
      </c>
      <c r="K239" s="247" t="s">
        <v>325</v>
      </c>
      <c r="L239" s="247" t="s">
        <v>325</v>
      </c>
      <c r="M239" s="247" t="s">
        <v>325</v>
      </c>
      <c r="N239" s="247" t="s">
        <v>325</v>
      </c>
      <c r="O239" s="247" t="s">
        <v>325</v>
      </c>
      <c r="P239" s="247" t="s">
        <v>325</v>
      </c>
      <c r="Q239" s="247" t="s">
        <v>325</v>
      </c>
    </row>
    <row r="240" spans="1:19" ht="15.75" customHeight="1" x14ac:dyDescent="0.25">
      <c r="A240" s="245" t="s">
        <v>279</v>
      </c>
      <c r="B240" s="321"/>
      <c r="C240" s="246" t="s">
        <v>325</v>
      </c>
      <c r="D240" s="246" t="s">
        <v>325</v>
      </c>
      <c r="E240" s="247" t="s">
        <v>325</v>
      </c>
      <c r="F240" s="247" t="s">
        <v>325</v>
      </c>
      <c r="G240" s="247" t="s">
        <v>325</v>
      </c>
      <c r="H240" s="247" t="s">
        <v>325</v>
      </c>
      <c r="I240" s="247" t="s">
        <v>325</v>
      </c>
      <c r="J240" s="247" t="s">
        <v>325</v>
      </c>
      <c r="K240" s="247" t="s">
        <v>325</v>
      </c>
      <c r="L240" s="247" t="s">
        <v>325</v>
      </c>
      <c r="M240" s="247" t="s">
        <v>325</v>
      </c>
      <c r="N240" s="247" t="s">
        <v>325</v>
      </c>
      <c r="O240" s="247" t="s">
        <v>325</v>
      </c>
      <c r="P240" s="247" t="s">
        <v>325</v>
      </c>
      <c r="Q240" s="247" t="s">
        <v>325</v>
      </c>
    </row>
    <row r="241" spans="1:17" ht="15.75" customHeight="1" x14ac:dyDescent="0.25">
      <c r="A241" s="245" t="s">
        <v>281</v>
      </c>
      <c r="B241" s="330" t="s">
        <v>247</v>
      </c>
      <c r="C241" s="246" t="s">
        <v>325</v>
      </c>
      <c r="D241" s="246" t="s">
        <v>325</v>
      </c>
      <c r="E241" s="247" t="s">
        <v>325</v>
      </c>
      <c r="F241" s="247" t="s">
        <v>325</v>
      </c>
      <c r="G241" s="247" t="s">
        <v>325</v>
      </c>
      <c r="H241" s="247" t="s">
        <v>325</v>
      </c>
      <c r="I241" s="247" t="s">
        <v>325</v>
      </c>
      <c r="J241" s="247" t="s">
        <v>325</v>
      </c>
      <c r="K241" s="247" t="s">
        <v>325</v>
      </c>
      <c r="L241" s="247" t="s">
        <v>325</v>
      </c>
      <c r="M241" s="247" t="s">
        <v>325</v>
      </c>
      <c r="N241" s="247" t="s">
        <v>325</v>
      </c>
      <c r="O241" s="247" t="s">
        <v>325</v>
      </c>
      <c r="P241" s="247" t="s">
        <v>325</v>
      </c>
      <c r="Q241" s="247" t="s">
        <v>325</v>
      </c>
    </row>
    <row r="242" spans="1:17" ht="15.75" customHeight="1" x14ac:dyDescent="0.25">
      <c r="A242" s="245" t="s">
        <v>276</v>
      </c>
      <c r="B242" s="312"/>
      <c r="C242" s="246" t="s">
        <v>325</v>
      </c>
      <c r="D242" s="246" t="s">
        <v>325</v>
      </c>
      <c r="E242" s="247" t="s">
        <v>325</v>
      </c>
      <c r="F242" s="247" t="s">
        <v>325</v>
      </c>
      <c r="G242" s="247" t="s">
        <v>325</v>
      </c>
      <c r="H242" s="247" t="s">
        <v>325</v>
      </c>
      <c r="I242" s="247" t="s">
        <v>325</v>
      </c>
      <c r="J242" s="247" t="s">
        <v>325</v>
      </c>
      <c r="K242" s="247" t="s">
        <v>325</v>
      </c>
      <c r="L242" s="247" t="s">
        <v>325</v>
      </c>
      <c r="M242" s="247" t="s">
        <v>325</v>
      </c>
      <c r="N242" s="247" t="s">
        <v>325</v>
      </c>
      <c r="O242" s="247" t="s">
        <v>325</v>
      </c>
      <c r="P242" s="247" t="s">
        <v>325</v>
      </c>
      <c r="Q242" s="247" t="s">
        <v>325</v>
      </c>
    </row>
    <row r="243" spans="1:17" ht="15.75" customHeight="1" x14ac:dyDescent="0.25">
      <c r="A243" s="245" t="s">
        <v>277</v>
      </c>
      <c r="B243" s="312"/>
      <c r="C243" s="246" t="s">
        <v>325</v>
      </c>
      <c r="D243" s="246" t="s">
        <v>325</v>
      </c>
      <c r="E243" s="247" t="s">
        <v>325</v>
      </c>
      <c r="F243" s="247" t="s">
        <v>325</v>
      </c>
      <c r="G243" s="247" t="s">
        <v>325</v>
      </c>
      <c r="H243" s="247" t="s">
        <v>325</v>
      </c>
      <c r="I243" s="247" t="s">
        <v>325</v>
      </c>
      <c r="J243" s="247" t="s">
        <v>325</v>
      </c>
      <c r="K243" s="247" t="s">
        <v>325</v>
      </c>
      <c r="L243" s="247" t="s">
        <v>325</v>
      </c>
      <c r="M243" s="247" t="s">
        <v>325</v>
      </c>
      <c r="N243" s="247" t="s">
        <v>325</v>
      </c>
      <c r="O243" s="247" t="s">
        <v>325</v>
      </c>
      <c r="P243" s="247" t="s">
        <v>325</v>
      </c>
      <c r="Q243" s="247" t="s">
        <v>325</v>
      </c>
    </row>
    <row r="244" spans="1:17" ht="15.75" customHeight="1" x14ac:dyDescent="0.25">
      <c r="A244" s="245" t="s">
        <v>278</v>
      </c>
      <c r="B244" s="312"/>
      <c r="C244" s="246" t="s">
        <v>325</v>
      </c>
      <c r="D244" s="246" t="s">
        <v>325</v>
      </c>
      <c r="E244" s="247" t="s">
        <v>325</v>
      </c>
      <c r="F244" s="247" t="s">
        <v>325</v>
      </c>
      <c r="G244" s="247" t="s">
        <v>325</v>
      </c>
      <c r="H244" s="247" t="s">
        <v>325</v>
      </c>
      <c r="I244" s="247" t="s">
        <v>325</v>
      </c>
      <c r="J244" s="247" t="s">
        <v>325</v>
      </c>
      <c r="K244" s="247" t="s">
        <v>325</v>
      </c>
      <c r="L244" s="247" t="s">
        <v>325</v>
      </c>
      <c r="M244" s="247" t="s">
        <v>325</v>
      </c>
      <c r="N244" s="247" t="s">
        <v>325</v>
      </c>
      <c r="O244" s="247" t="s">
        <v>325</v>
      </c>
      <c r="P244" s="247" t="s">
        <v>325</v>
      </c>
      <c r="Q244" s="247" t="s">
        <v>325</v>
      </c>
    </row>
    <row r="245" spans="1:17" ht="15.75" customHeight="1" x14ac:dyDescent="0.25">
      <c r="A245" s="245" t="s">
        <v>279</v>
      </c>
      <c r="B245" s="321"/>
      <c r="C245" s="246" t="s">
        <v>325</v>
      </c>
      <c r="D245" s="246" t="s">
        <v>325</v>
      </c>
      <c r="E245" s="247" t="s">
        <v>325</v>
      </c>
      <c r="F245" s="247" t="s">
        <v>325</v>
      </c>
      <c r="G245" s="247" t="s">
        <v>325</v>
      </c>
      <c r="H245" s="247" t="s">
        <v>325</v>
      </c>
      <c r="I245" s="247" t="s">
        <v>325</v>
      </c>
      <c r="J245" s="247" t="s">
        <v>325</v>
      </c>
      <c r="K245" s="247" t="s">
        <v>325</v>
      </c>
      <c r="L245" s="247" t="s">
        <v>325</v>
      </c>
      <c r="M245" s="247" t="s">
        <v>325</v>
      </c>
      <c r="N245" s="247" t="s">
        <v>325</v>
      </c>
      <c r="O245" s="247" t="s">
        <v>325</v>
      </c>
      <c r="P245" s="247" t="s">
        <v>325</v>
      </c>
      <c r="Q245" s="247" t="s">
        <v>325</v>
      </c>
    </row>
    <row r="246" spans="1:17" ht="15.75" customHeight="1" x14ac:dyDescent="0.25">
      <c r="A246" s="245" t="s">
        <v>273</v>
      </c>
      <c r="B246" s="330" t="s">
        <v>248</v>
      </c>
      <c r="C246" s="246" t="s">
        <v>325</v>
      </c>
      <c r="D246" s="246" t="s">
        <v>325</v>
      </c>
      <c r="E246" s="247" t="s">
        <v>325</v>
      </c>
      <c r="F246" s="247" t="s">
        <v>325</v>
      </c>
      <c r="G246" s="247" t="s">
        <v>325</v>
      </c>
      <c r="H246" s="247" t="s">
        <v>325</v>
      </c>
      <c r="I246" s="247" t="s">
        <v>325</v>
      </c>
      <c r="J246" s="247" t="s">
        <v>325</v>
      </c>
      <c r="K246" s="247" t="s">
        <v>325</v>
      </c>
      <c r="L246" s="247" t="s">
        <v>325</v>
      </c>
      <c r="M246" s="247" t="s">
        <v>325</v>
      </c>
      <c r="N246" s="247" t="s">
        <v>325</v>
      </c>
      <c r="O246" s="247" t="s">
        <v>325</v>
      </c>
      <c r="P246" s="247" t="s">
        <v>325</v>
      </c>
      <c r="Q246" s="247" t="s">
        <v>325</v>
      </c>
    </row>
    <row r="247" spans="1:17" ht="15.75" customHeight="1" x14ac:dyDescent="0.25">
      <c r="A247" s="245" t="s">
        <v>276</v>
      </c>
      <c r="B247" s="312"/>
      <c r="C247" s="246" t="s">
        <v>325</v>
      </c>
      <c r="D247" s="246" t="s">
        <v>325</v>
      </c>
      <c r="E247" s="247" t="s">
        <v>325</v>
      </c>
      <c r="F247" s="247" t="s">
        <v>325</v>
      </c>
      <c r="G247" s="247" t="s">
        <v>325</v>
      </c>
      <c r="H247" s="247" t="s">
        <v>325</v>
      </c>
      <c r="I247" s="247" t="s">
        <v>325</v>
      </c>
      <c r="J247" s="247" t="s">
        <v>325</v>
      </c>
      <c r="K247" s="247" t="s">
        <v>325</v>
      </c>
      <c r="L247" s="247" t="s">
        <v>325</v>
      </c>
      <c r="M247" s="247" t="s">
        <v>325</v>
      </c>
      <c r="N247" s="247" t="s">
        <v>325</v>
      </c>
      <c r="O247" s="247" t="s">
        <v>325</v>
      </c>
      <c r="P247" s="247" t="s">
        <v>325</v>
      </c>
      <c r="Q247" s="247" t="s">
        <v>325</v>
      </c>
    </row>
    <row r="248" spans="1:17" ht="15.75" customHeight="1" x14ac:dyDescent="0.25">
      <c r="A248" s="245" t="s">
        <v>277</v>
      </c>
      <c r="B248" s="312"/>
      <c r="C248" s="246" t="s">
        <v>325</v>
      </c>
      <c r="D248" s="246" t="s">
        <v>325</v>
      </c>
      <c r="E248" s="247" t="s">
        <v>325</v>
      </c>
      <c r="F248" s="247" t="s">
        <v>325</v>
      </c>
      <c r="G248" s="247" t="s">
        <v>325</v>
      </c>
      <c r="H248" s="247" t="s">
        <v>325</v>
      </c>
      <c r="I248" s="247" t="s">
        <v>325</v>
      </c>
      <c r="J248" s="247" t="s">
        <v>325</v>
      </c>
      <c r="K248" s="247" t="s">
        <v>325</v>
      </c>
      <c r="L248" s="247" t="s">
        <v>325</v>
      </c>
      <c r="M248" s="247" t="s">
        <v>325</v>
      </c>
      <c r="N248" s="247" t="s">
        <v>325</v>
      </c>
      <c r="O248" s="247" t="s">
        <v>325</v>
      </c>
      <c r="P248" s="247" t="s">
        <v>325</v>
      </c>
      <c r="Q248" s="247" t="s">
        <v>325</v>
      </c>
    </row>
    <row r="249" spans="1:17" ht="15.75" customHeight="1" x14ac:dyDescent="0.25">
      <c r="A249" s="245" t="s">
        <v>278</v>
      </c>
      <c r="B249" s="312"/>
      <c r="C249" s="246" t="s">
        <v>325</v>
      </c>
      <c r="D249" s="246" t="s">
        <v>325</v>
      </c>
      <c r="E249" s="247" t="s">
        <v>325</v>
      </c>
      <c r="F249" s="247" t="s">
        <v>325</v>
      </c>
      <c r="G249" s="247" t="s">
        <v>325</v>
      </c>
      <c r="H249" s="247" t="s">
        <v>325</v>
      </c>
      <c r="I249" s="247" t="s">
        <v>325</v>
      </c>
      <c r="J249" s="247" t="s">
        <v>325</v>
      </c>
      <c r="K249" s="247" t="s">
        <v>325</v>
      </c>
      <c r="L249" s="247" t="s">
        <v>325</v>
      </c>
      <c r="M249" s="247" t="s">
        <v>325</v>
      </c>
      <c r="N249" s="247" t="s">
        <v>325</v>
      </c>
      <c r="O249" s="247" t="s">
        <v>325</v>
      </c>
      <c r="P249" s="247" t="s">
        <v>325</v>
      </c>
      <c r="Q249" s="247" t="s">
        <v>325</v>
      </c>
    </row>
    <row r="250" spans="1:17" ht="15.75" customHeight="1" x14ac:dyDescent="0.25">
      <c r="A250" s="245" t="s">
        <v>279</v>
      </c>
      <c r="B250" s="321"/>
      <c r="C250" s="246" t="s">
        <v>325</v>
      </c>
      <c r="D250" s="246" t="s">
        <v>325</v>
      </c>
      <c r="E250" s="247" t="s">
        <v>325</v>
      </c>
      <c r="F250" s="247" t="s">
        <v>325</v>
      </c>
      <c r="G250" s="247" t="s">
        <v>325</v>
      </c>
      <c r="H250" s="247" t="s">
        <v>325</v>
      </c>
      <c r="I250" s="247" t="s">
        <v>325</v>
      </c>
      <c r="J250" s="247" t="s">
        <v>325</v>
      </c>
      <c r="K250" s="247" t="s">
        <v>325</v>
      </c>
      <c r="L250" s="247" t="s">
        <v>325</v>
      </c>
      <c r="M250" s="247" t="s">
        <v>325</v>
      </c>
      <c r="N250" s="247" t="s">
        <v>325</v>
      </c>
      <c r="O250" s="247" t="s">
        <v>325</v>
      </c>
      <c r="P250" s="247" t="s">
        <v>325</v>
      </c>
      <c r="Q250" s="247" t="s">
        <v>325</v>
      </c>
    </row>
    <row r="251" spans="1:17" ht="15.75" customHeight="1" x14ac:dyDescent="0.25">
      <c r="A251" s="245" t="s">
        <v>273</v>
      </c>
      <c r="B251" s="330" t="s">
        <v>249</v>
      </c>
      <c r="C251" s="246" t="s">
        <v>325</v>
      </c>
      <c r="D251" s="246" t="s">
        <v>325</v>
      </c>
      <c r="E251" s="247" t="s">
        <v>325</v>
      </c>
      <c r="F251" s="247" t="s">
        <v>325</v>
      </c>
      <c r="G251" s="247" t="s">
        <v>325</v>
      </c>
      <c r="H251" s="247" t="s">
        <v>325</v>
      </c>
      <c r="I251" s="247" t="s">
        <v>325</v>
      </c>
      <c r="J251" s="247" t="s">
        <v>325</v>
      </c>
      <c r="K251" s="247" t="s">
        <v>325</v>
      </c>
      <c r="L251" s="247" t="s">
        <v>325</v>
      </c>
      <c r="M251" s="247" t="s">
        <v>325</v>
      </c>
      <c r="N251" s="247" t="s">
        <v>325</v>
      </c>
      <c r="O251" s="247" t="s">
        <v>325</v>
      </c>
      <c r="P251" s="247" t="s">
        <v>325</v>
      </c>
      <c r="Q251" s="247" t="s">
        <v>325</v>
      </c>
    </row>
    <row r="252" spans="1:17" ht="15.75" customHeight="1" x14ac:dyDescent="0.25">
      <c r="A252" s="245" t="s">
        <v>276</v>
      </c>
      <c r="B252" s="312"/>
      <c r="C252" s="246" t="s">
        <v>325</v>
      </c>
      <c r="D252" s="246" t="s">
        <v>325</v>
      </c>
      <c r="E252" s="247" t="s">
        <v>325</v>
      </c>
      <c r="F252" s="247" t="s">
        <v>325</v>
      </c>
      <c r="G252" s="247" t="s">
        <v>325</v>
      </c>
      <c r="H252" s="247" t="s">
        <v>325</v>
      </c>
      <c r="I252" s="247" t="s">
        <v>325</v>
      </c>
      <c r="J252" s="247" t="s">
        <v>325</v>
      </c>
      <c r="K252" s="247" t="s">
        <v>325</v>
      </c>
      <c r="L252" s="247" t="s">
        <v>325</v>
      </c>
      <c r="M252" s="247" t="s">
        <v>325</v>
      </c>
      <c r="N252" s="247" t="s">
        <v>325</v>
      </c>
      <c r="O252" s="247" t="s">
        <v>325</v>
      </c>
      <c r="P252" s="247" t="s">
        <v>325</v>
      </c>
      <c r="Q252" s="247" t="s">
        <v>325</v>
      </c>
    </row>
    <row r="253" spans="1:17" ht="15.75" customHeight="1" x14ac:dyDescent="0.25">
      <c r="A253" s="245" t="s">
        <v>277</v>
      </c>
      <c r="B253" s="312"/>
      <c r="C253" s="246" t="s">
        <v>325</v>
      </c>
      <c r="D253" s="246" t="s">
        <v>325</v>
      </c>
      <c r="E253" s="247" t="s">
        <v>325</v>
      </c>
      <c r="F253" s="247" t="s">
        <v>325</v>
      </c>
      <c r="G253" s="247" t="s">
        <v>325</v>
      </c>
      <c r="H253" s="247" t="s">
        <v>325</v>
      </c>
      <c r="I253" s="247" t="s">
        <v>325</v>
      </c>
      <c r="J253" s="247" t="s">
        <v>325</v>
      </c>
      <c r="K253" s="247" t="s">
        <v>325</v>
      </c>
      <c r="L253" s="247" t="s">
        <v>325</v>
      </c>
      <c r="M253" s="247" t="s">
        <v>325</v>
      </c>
      <c r="N253" s="247" t="s">
        <v>325</v>
      </c>
      <c r="O253" s="247" t="s">
        <v>325</v>
      </c>
      <c r="P253" s="247" t="s">
        <v>325</v>
      </c>
      <c r="Q253" s="247" t="s">
        <v>325</v>
      </c>
    </row>
    <row r="254" spans="1:17" ht="15.75" customHeight="1" x14ac:dyDescent="0.25">
      <c r="A254" s="245" t="s">
        <v>278</v>
      </c>
      <c r="B254" s="312"/>
      <c r="C254" s="246" t="s">
        <v>325</v>
      </c>
      <c r="D254" s="246" t="s">
        <v>325</v>
      </c>
      <c r="E254" s="247" t="s">
        <v>325</v>
      </c>
      <c r="F254" s="247" t="s">
        <v>325</v>
      </c>
      <c r="G254" s="247" t="s">
        <v>325</v>
      </c>
      <c r="H254" s="247" t="s">
        <v>325</v>
      </c>
      <c r="I254" s="247" t="s">
        <v>325</v>
      </c>
      <c r="J254" s="247" t="s">
        <v>325</v>
      </c>
      <c r="K254" s="247" t="s">
        <v>325</v>
      </c>
      <c r="L254" s="247" t="s">
        <v>325</v>
      </c>
      <c r="M254" s="247" t="s">
        <v>325</v>
      </c>
      <c r="N254" s="247" t="s">
        <v>325</v>
      </c>
      <c r="O254" s="247" t="s">
        <v>325</v>
      </c>
      <c r="P254" s="247" t="s">
        <v>325</v>
      </c>
      <c r="Q254" s="247" t="s">
        <v>325</v>
      </c>
    </row>
    <row r="255" spans="1:17" ht="15.75" customHeight="1" x14ac:dyDescent="0.25">
      <c r="A255" s="248" t="s">
        <v>279</v>
      </c>
      <c r="B255" s="309"/>
      <c r="C255" s="246" t="s">
        <v>325</v>
      </c>
      <c r="D255" s="246" t="s">
        <v>325</v>
      </c>
      <c r="E255" s="247" t="s">
        <v>325</v>
      </c>
      <c r="F255" s="247" t="s">
        <v>325</v>
      </c>
      <c r="G255" s="247" t="s">
        <v>325</v>
      </c>
      <c r="H255" s="247" t="s">
        <v>325</v>
      </c>
      <c r="I255" s="247" t="s">
        <v>325</v>
      </c>
      <c r="J255" s="247" t="s">
        <v>325</v>
      </c>
      <c r="K255" s="247" t="s">
        <v>325</v>
      </c>
      <c r="L255" s="247" t="s">
        <v>325</v>
      </c>
      <c r="M255" s="247" t="s">
        <v>325</v>
      </c>
      <c r="N255" s="247" t="s">
        <v>325</v>
      </c>
      <c r="O255" s="247" t="s">
        <v>325</v>
      </c>
      <c r="P255" s="247" t="s">
        <v>325</v>
      </c>
      <c r="Q255" s="247" t="s">
        <v>325</v>
      </c>
    </row>
    <row r="256" spans="1:17" ht="15.75" customHeight="1" x14ac:dyDescent="0.25"/>
    <row r="257" spans="1:28" ht="15.75" customHeight="1" x14ac:dyDescent="0.25"/>
    <row r="258" spans="1:28" ht="15.75" customHeight="1" x14ac:dyDescent="0.25">
      <c r="A258" s="249" t="s">
        <v>326</v>
      </c>
      <c r="B258" s="250">
        <v>1995</v>
      </c>
      <c r="C258" s="250">
        <v>1996</v>
      </c>
      <c r="D258" s="250">
        <v>1997</v>
      </c>
      <c r="E258" s="250">
        <v>1998</v>
      </c>
      <c r="F258" s="250">
        <v>1999</v>
      </c>
      <c r="G258" s="250">
        <v>2000</v>
      </c>
      <c r="H258" s="250">
        <v>2001</v>
      </c>
      <c r="I258" s="250">
        <v>2002</v>
      </c>
      <c r="J258" s="250">
        <v>2003</v>
      </c>
      <c r="K258" s="250">
        <v>2004</v>
      </c>
      <c r="L258" s="250">
        <v>2005</v>
      </c>
      <c r="M258" s="250">
        <v>2006</v>
      </c>
      <c r="N258" s="250">
        <v>2007</v>
      </c>
      <c r="O258" s="250">
        <v>2008</v>
      </c>
      <c r="P258" s="250">
        <v>2009</v>
      </c>
      <c r="Q258" s="250">
        <v>2010</v>
      </c>
      <c r="R258" s="250">
        <v>2011</v>
      </c>
      <c r="S258" s="250">
        <v>2012</v>
      </c>
      <c r="T258" s="250">
        <v>2013</v>
      </c>
      <c r="U258" s="250">
        <v>2014</v>
      </c>
      <c r="V258" s="250">
        <v>2015</v>
      </c>
      <c r="W258" s="250">
        <v>2016</v>
      </c>
      <c r="X258" s="250">
        <v>2017</v>
      </c>
      <c r="Y258" s="250">
        <v>2018</v>
      </c>
      <c r="Z258" s="251">
        <v>2019</v>
      </c>
      <c r="AA258" s="86" t="s">
        <v>327</v>
      </c>
    </row>
    <row r="259" spans="1:28" ht="15.75" customHeight="1" x14ac:dyDescent="0.25">
      <c r="A259" s="252" t="s">
        <v>328</v>
      </c>
      <c r="B259" s="289">
        <v>0.4039927056</v>
      </c>
      <c r="C259" s="289">
        <v>0.43259273640000001</v>
      </c>
      <c r="D259" s="289">
        <v>0.42557565959999999</v>
      </c>
      <c r="E259" s="289">
        <v>0.45501723719999998</v>
      </c>
      <c r="F259" s="289">
        <v>0.48705881760000003</v>
      </c>
      <c r="G259" s="289">
        <v>0.47817442799999998</v>
      </c>
      <c r="H259" s="289">
        <v>0.4924890972</v>
      </c>
      <c r="I259" s="289">
        <v>0.50596221959999998</v>
      </c>
      <c r="J259" s="289">
        <v>0.5171660964</v>
      </c>
      <c r="K259" s="289">
        <v>0.53681893560000005</v>
      </c>
      <c r="L259" s="289">
        <v>0.54605920320000001</v>
      </c>
      <c r="M259" s="289">
        <v>0.53438221799999996</v>
      </c>
      <c r="N259" s="289">
        <v>0.54938770920000002</v>
      </c>
      <c r="O259" s="289">
        <v>0.49433128920000002</v>
      </c>
      <c r="P259" s="289">
        <v>0.49388748840000002</v>
      </c>
      <c r="Q259" s="289">
        <v>0.50085432360000004</v>
      </c>
      <c r="R259" s="289">
        <v>0.4771151676</v>
      </c>
      <c r="S259" s="289">
        <v>0.43296954840000001</v>
      </c>
      <c r="T259" s="289">
        <v>0.39493247040000001</v>
      </c>
      <c r="U259" s="289">
        <v>0.42430287239999998</v>
      </c>
      <c r="V259" s="289">
        <v>0.45853414920000002</v>
      </c>
      <c r="W259" s="289">
        <v>0.4672594404</v>
      </c>
      <c r="X259" s="289">
        <v>0.4769476956</v>
      </c>
      <c r="Y259" s="289">
        <v>0.48798410040000001</v>
      </c>
      <c r="Z259" s="289">
        <v>0.4872304764</v>
      </c>
      <c r="AA259" s="289" t="s">
        <v>329</v>
      </c>
      <c r="AB259" s="290"/>
    </row>
    <row r="260" spans="1:28" ht="15.75" customHeight="1" x14ac:dyDescent="0.25">
      <c r="A260" s="253" t="s">
        <v>330</v>
      </c>
      <c r="B260" s="289">
        <v>9.2679004800000006E-2</v>
      </c>
      <c r="C260" s="289">
        <v>0.1048249116</v>
      </c>
      <c r="D260" s="289">
        <v>0.1341785664</v>
      </c>
      <c r="E260" s="289">
        <v>0.13231544040000001</v>
      </c>
      <c r="F260" s="289">
        <v>0.15244557480000001</v>
      </c>
      <c r="G260" s="289">
        <v>0.16474639320000001</v>
      </c>
      <c r="H260" s="289">
        <v>0.17775896760000001</v>
      </c>
      <c r="I260" s="289">
        <v>0.20563049520000001</v>
      </c>
      <c r="J260" s="289">
        <v>0.237035682</v>
      </c>
      <c r="K260" s="289">
        <v>0.25982443440000003</v>
      </c>
      <c r="L260" s="289">
        <v>0.28171302479999999</v>
      </c>
      <c r="M260" s="289">
        <v>0.25574230440000001</v>
      </c>
      <c r="N260" s="289">
        <v>0.2750685732</v>
      </c>
      <c r="O260" s="289">
        <v>0.2726946576</v>
      </c>
      <c r="P260" s="289">
        <v>0.24940767599999999</v>
      </c>
      <c r="Q260" s="289">
        <v>0.2547709668</v>
      </c>
      <c r="R260" s="289">
        <v>0.24926532479999999</v>
      </c>
      <c r="S260" s="289">
        <v>0.24821443800000001</v>
      </c>
      <c r="T260" s="289">
        <v>0.2322752904</v>
      </c>
      <c r="U260" s="289">
        <v>0.2065264704</v>
      </c>
      <c r="V260" s="289">
        <v>0.22019218560000001</v>
      </c>
      <c r="W260" s="289">
        <v>0.21813646680000001</v>
      </c>
      <c r="X260" s="289">
        <v>0.2350595124</v>
      </c>
      <c r="Y260" s="289">
        <v>0.23127883199999999</v>
      </c>
      <c r="Z260" s="289">
        <v>0.24372200159999999</v>
      </c>
      <c r="AA260" s="289" t="s">
        <v>331</v>
      </c>
      <c r="AB260" s="290"/>
    </row>
    <row r="261" spans="1:28" ht="15.75" customHeight="1" x14ac:dyDescent="0.25">
      <c r="A261" s="254" t="s">
        <v>332</v>
      </c>
      <c r="B261" s="289">
        <v>4.2621624E-3</v>
      </c>
      <c r="C261" s="289">
        <v>6.6863195999999998E-3</v>
      </c>
      <c r="D261" s="289">
        <v>8.3484791999999999E-3</v>
      </c>
      <c r="E261" s="289">
        <v>3.9272183999999998E-3</v>
      </c>
      <c r="F261" s="289">
        <v>4.8859956E-3</v>
      </c>
      <c r="G261" s="289">
        <v>6.1839036000000003E-3</v>
      </c>
      <c r="H261" s="289">
        <v>1.2351059999999999E-3</v>
      </c>
      <c r="I261" s="289">
        <v>8.0177219999999997E-3</v>
      </c>
      <c r="J261" s="289">
        <v>4.3291511999999999E-3</v>
      </c>
      <c r="K261" s="289">
        <v>7.7120855999999998E-3</v>
      </c>
      <c r="L261" s="289">
        <v>8.2647432000000007E-3</v>
      </c>
      <c r="M261" s="289">
        <v>9.1774656000000003E-3</v>
      </c>
      <c r="N261" s="289">
        <v>8.4447755999999992E-3</v>
      </c>
      <c r="O261" s="289">
        <v>7.5027456000000001E-3</v>
      </c>
      <c r="P261" s="289">
        <v>3.8853503999999998E-3</v>
      </c>
      <c r="Q261" s="289">
        <v>5.6940480000000002E-3</v>
      </c>
      <c r="R261" s="289">
        <v>4.8985559999999997E-4</v>
      </c>
      <c r="S261" s="289">
        <v>4.144932E-4</v>
      </c>
      <c r="T261" s="289">
        <v>1.3272156000000001E-3</v>
      </c>
      <c r="U261" s="289">
        <v>1.3355891999999999E-3</v>
      </c>
      <c r="V261" s="289">
        <v>1.297908E-3</v>
      </c>
      <c r="W261" s="289">
        <v>1.2476664000000001E-3</v>
      </c>
      <c r="X261" s="289">
        <v>1.5365556E-3</v>
      </c>
      <c r="Y261" s="289">
        <v>1.402578E-3</v>
      </c>
      <c r="Z261" s="289">
        <v>1.4486328000000001E-3</v>
      </c>
      <c r="AA261" s="289" t="s">
        <v>333</v>
      </c>
      <c r="AB261" s="290"/>
    </row>
    <row r="262" spans="1:28" ht="15.75" customHeight="1" x14ac:dyDescent="0.25"/>
    <row r="263" spans="1:28" ht="15.75" customHeight="1" x14ac:dyDescent="0.25"/>
    <row r="264" spans="1:28" ht="15.75" customHeight="1" x14ac:dyDescent="0.25"/>
    <row r="265" spans="1:28" ht="15.75" customHeight="1" x14ac:dyDescent="0.25"/>
    <row r="266" spans="1:28" ht="15.75" customHeight="1" x14ac:dyDescent="0.25"/>
    <row r="267" spans="1:28" ht="15.75" customHeight="1" x14ac:dyDescent="0.25"/>
    <row r="268" spans="1:28" ht="15.75" customHeight="1" x14ac:dyDescent="0.25"/>
    <row r="269" spans="1:28" ht="15.75" customHeight="1" x14ac:dyDescent="0.25"/>
    <row r="270" spans="1:28" ht="15.75" customHeight="1" x14ac:dyDescent="0.25"/>
    <row r="271" spans="1:28" ht="15.75" customHeight="1" x14ac:dyDescent="0.25"/>
    <row r="272" spans="1:28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6">
    <mergeCell ref="B251:B255"/>
    <mergeCell ref="A59:A60"/>
    <mergeCell ref="B59:B60"/>
    <mergeCell ref="C59:C60"/>
    <mergeCell ref="A61:A62"/>
    <mergeCell ref="B61:B62"/>
    <mergeCell ref="C61:C62"/>
    <mergeCell ref="A64:A65"/>
    <mergeCell ref="A230:B230"/>
    <mergeCell ref="B231:B235"/>
    <mergeCell ref="B236:B240"/>
    <mergeCell ref="B241:B245"/>
    <mergeCell ref="B246:B250"/>
    <mergeCell ref="A72:C72"/>
    <mergeCell ref="A78:C78"/>
    <mergeCell ref="E78:G78"/>
    <mergeCell ref="A99:B99"/>
    <mergeCell ref="A215:C215"/>
    <mergeCell ref="B64:B65"/>
    <mergeCell ref="C64:C65"/>
    <mergeCell ref="A67:A68"/>
    <mergeCell ref="B67:B68"/>
    <mergeCell ref="C67:C68"/>
    <mergeCell ref="A50:A51"/>
    <mergeCell ref="B50:B51"/>
    <mergeCell ref="C50:C51"/>
    <mergeCell ref="B57:B58"/>
    <mergeCell ref="C57:C58"/>
    <mergeCell ref="A52:A53"/>
    <mergeCell ref="B52:B53"/>
    <mergeCell ref="C52:C53"/>
    <mergeCell ref="A54:A55"/>
    <mergeCell ref="B54:B55"/>
    <mergeCell ref="C54:C55"/>
    <mergeCell ref="A57:A58"/>
    <mergeCell ref="H28:J28"/>
    <mergeCell ref="A30:C30"/>
    <mergeCell ref="E30:G30"/>
    <mergeCell ref="E32:G32"/>
    <mergeCell ref="A36:C36"/>
    <mergeCell ref="E36:G36"/>
    <mergeCell ref="A22:C22"/>
    <mergeCell ref="A23:C23"/>
    <mergeCell ref="A24:C24"/>
    <mergeCell ref="A27:C27"/>
    <mergeCell ref="E28:G28"/>
  </mergeCells>
  <conditionalFormatting sqref="B180:R180">
    <cfRule type="cellIs" dxfId="5" priority="6" operator="lessThan">
      <formula>0</formula>
    </cfRule>
    <cfRule type="cellIs" dxfId="4" priority="8" operator="equal">
      <formula>"na"</formula>
    </cfRule>
    <cfRule type="cellIs" dxfId="3" priority="9" operator="equal">
      <formula>0</formula>
    </cfRule>
  </conditionalFormatting>
  <conditionalFormatting sqref="C230:S230">
    <cfRule type="cellIs" dxfId="2" priority="1" operator="lessThan">
      <formula>0</formula>
    </cfRule>
    <cfRule type="cellIs" dxfId="1" priority="3" operator="equal">
      <formula>"na"</formula>
    </cfRule>
    <cfRule type="cellIs" dxfId="0" priority="4" operator="equal">
      <formula>0</formula>
    </cfRule>
  </conditionalFormatting>
  <dataValidations count="2">
    <dataValidation type="custom" allowBlank="1" showInputMessage="1" showErrorMessage="1" prompt="Error - Energy intensity for all sectors is selected" sqref="S181:AH185 S193:AH197" xr:uid="{00000000-0002-0000-0300-000000000000}">
      <formula1>#REF!=1</formula1>
    </dataValidation>
    <dataValidation type="custom" allowBlank="1" showInputMessage="1" showErrorMessage="1" prompt="Error - Energy intensity for all sectors is selected" sqref="B181:D185 G181:R185 B193:D197 G193:R197" xr:uid="{00000000-0002-0000-0300-000001000000}">
      <formula1>$A$368=1</formula1>
    </dataValidation>
  </dataValidations>
  <hyperlinks>
    <hyperlink ref="G7" r:id="rId1" xr:uid="{00000000-0004-0000-0300-000000000000}"/>
  </hyperlinks>
  <pageMargins left="0.7" right="0.7" top="0.75" bottom="0.75" header="0" footer="0"/>
  <pageSetup paperSize="9" orientation="portrait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A2:AM1000"/>
  <sheetViews>
    <sheetView tabSelected="1" workbookViewId="0"/>
  </sheetViews>
  <sheetFormatPr baseColWidth="10" defaultColWidth="14.42578125" defaultRowHeight="15" customHeight="1" x14ac:dyDescent="0.25"/>
  <cols>
    <col min="1" max="1" width="43" customWidth="1"/>
    <col min="2" max="3" width="9.140625" customWidth="1"/>
    <col min="4" max="4" width="15" customWidth="1"/>
    <col min="5" max="39" width="9.140625" customWidth="1"/>
  </cols>
  <sheetData>
    <row r="2" spans="1:39" x14ac:dyDescent="0.25">
      <c r="A2" s="255" t="s">
        <v>334</v>
      </c>
    </row>
    <row r="3" spans="1:39" x14ac:dyDescent="0.25">
      <c r="A3" s="48" t="s">
        <v>111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256"/>
    </row>
    <row r="4" spans="1:39" ht="90" x14ac:dyDescent="0.25">
      <c r="A4" s="50" t="s">
        <v>0</v>
      </c>
      <c r="B4" s="51" t="s">
        <v>112</v>
      </c>
      <c r="C4" s="52" t="s">
        <v>113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3"/>
      <c r="V4" s="53"/>
      <c r="W4" s="53"/>
      <c r="X4" s="53"/>
      <c r="Y4" s="53"/>
      <c r="Z4" s="53"/>
      <c r="AA4" s="54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</row>
    <row r="5" spans="1:39" x14ac:dyDescent="0.25">
      <c r="A5" s="19" t="s">
        <v>114</v>
      </c>
      <c r="B5" s="55"/>
      <c r="C5" s="56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8"/>
      <c r="AE5" s="58"/>
      <c r="AF5" s="58"/>
      <c r="AG5" s="58"/>
      <c r="AH5" s="58"/>
      <c r="AI5" s="58"/>
      <c r="AJ5" s="58"/>
      <c r="AK5" s="58"/>
      <c r="AL5" s="58"/>
      <c r="AM5" s="58"/>
    </row>
    <row r="6" spans="1:39" x14ac:dyDescent="0.25">
      <c r="A6" s="307" t="s">
        <v>335</v>
      </c>
      <c r="B6" s="307" t="s">
        <v>12</v>
      </c>
      <c r="C6" s="310">
        <v>12500</v>
      </c>
      <c r="D6" s="59" t="s">
        <v>116</v>
      </c>
      <c r="E6" s="65">
        <v>0</v>
      </c>
      <c r="F6" s="65">
        <v>500</v>
      </c>
      <c r="G6" s="65">
        <v>1000</v>
      </c>
      <c r="H6" s="65">
        <v>1500</v>
      </c>
      <c r="I6" s="65">
        <v>2000</v>
      </c>
      <c r="J6" s="65">
        <v>2500</v>
      </c>
      <c r="K6" s="65">
        <v>3000</v>
      </c>
      <c r="L6" s="65">
        <v>3500</v>
      </c>
      <c r="M6" s="65">
        <v>4000</v>
      </c>
      <c r="N6" s="65">
        <v>4500</v>
      </c>
      <c r="O6" s="65">
        <v>5000</v>
      </c>
      <c r="P6" s="65">
        <v>5500</v>
      </c>
      <c r="Q6" s="65">
        <v>6000</v>
      </c>
      <c r="R6" s="65">
        <v>6500</v>
      </c>
      <c r="S6" s="65">
        <v>7000</v>
      </c>
      <c r="T6" s="66">
        <v>7500</v>
      </c>
      <c r="U6" s="66">
        <v>8000</v>
      </c>
      <c r="V6" s="66">
        <v>8500</v>
      </c>
      <c r="W6" s="66">
        <v>9000</v>
      </c>
      <c r="X6" s="66">
        <v>9500</v>
      </c>
      <c r="Y6" s="66">
        <v>10000</v>
      </c>
      <c r="Z6" s="66">
        <v>10500</v>
      </c>
      <c r="AA6" s="66">
        <v>11000</v>
      </c>
      <c r="AB6" s="66">
        <v>11500</v>
      </c>
      <c r="AC6" s="66">
        <v>12000</v>
      </c>
      <c r="AD6" s="66">
        <v>12500</v>
      </c>
      <c r="AE6" s="66"/>
      <c r="AF6" s="66"/>
      <c r="AG6" s="66"/>
      <c r="AH6" s="66"/>
      <c r="AI6" s="66"/>
      <c r="AJ6" s="66"/>
      <c r="AK6" s="66"/>
      <c r="AL6" s="66"/>
      <c r="AM6" s="257"/>
    </row>
    <row r="7" spans="1:39" x14ac:dyDescent="0.25">
      <c r="A7" s="306"/>
      <c r="B7" s="306"/>
      <c r="C7" s="309"/>
      <c r="D7" s="59" t="s">
        <v>117</v>
      </c>
      <c r="E7" s="62">
        <v>0</v>
      </c>
      <c r="F7" s="63">
        <v>31.1925737005045</v>
      </c>
      <c r="G7" s="63">
        <v>55.930367022233497</v>
      </c>
      <c r="H7" s="63">
        <v>78.974273786673805</v>
      </c>
      <c r="I7" s="63">
        <v>98.995419973700706</v>
      </c>
      <c r="J7" s="63">
        <v>112.902389939028</v>
      </c>
      <c r="K7" s="63">
        <v>129.78690300622199</v>
      </c>
      <c r="L7" s="63">
        <v>139.05477860121101</v>
      </c>
      <c r="M7" s="63">
        <v>149.65885530140201</v>
      </c>
      <c r="N7" s="63">
        <v>155.852261581362</v>
      </c>
      <c r="O7" s="63">
        <v>160.21358632267601</v>
      </c>
      <c r="P7" s="63">
        <v>162.53523785999701</v>
      </c>
      <c r="Q7" s="63">
        <v>162.89303662558501</v>
      </c>
      <c r="R7" s="63">
        <v>162.89303662558501</v>
      </c>
      <c r="S7" s="63">
        <v>162.89303662558501</v>
      </c>
      <c r="T7" s="70">
        <v>162.89303662558501</v>
      </c>
      <c r="U7" s="70">
        <v>162.89303662558501</v>
      </c>
      <c r="V7" s="70">
        <v>162.89303662558501</v>
      </c>
      <c r="W7" s="70">
        <v>162.89303662558501</v>
      </c>
      <c r="X7" s="70">
        <v>162.89303662558501</v>
      </c>
      <c r="Y7" s="70">
        <v>162.89303662558501</v>
      </c>
      <c r="Z7" s="70">
        <v>162.89303662558501</v>
      </c>
      <c r="AA7" s="70">
        <v>162.89303662558501</v>
      </c>
      <c r="AB7" s="70">
        <v>162.89303662558501</v>
      </c>
      <c r="AC7" s="70">
        <v>162.89303662558501</v>
      </c>
      <c r="AD7" s="70">
        <v>162.89303662558501</v>
      </c>
      <c r="AE7" s="70"/>
      <c r="AF7" s="70"/>
      <c r="AG7" s="70"/>
      <c r="AH7" s="70"/>
      <c r="AI7" s="70"/>
      <c r="AJ7" s="70"/>
      <c r="AK7" s="70"/>
      <c r="AL7" s="70"/>
      <c r="AM7" s="258"/>
    </row>
    <row r="8" spans="1:39" x14ac:dyDescent="0.25">
      <c r="A8" s="305" t="s">
        <v>336</v>
      </c>
      <c r="B8" s="307" t="s">
        <v>12</v>
      </c>
      <c r="C8" s="308">
        <v>14500</v>
      </c>
      <c r="D8" s="59" t="s">
        <v>116</v>
      </c>
      <c r="E8" s="60">
        <v>0</v>
      </c>
      <c r="F8" s="60">
        <v>500</v>
      </c>
      <c r="G8" s="60">
        <v>1000</v>
      </c>
      <c r="H8" s="60">
        <v>1500</v>
      </c>
      <c r="I8" s="60">
        <v>2000</v>
      </c>
      <c r="J8" s="60">
        <v>2500</v>
      </c>
      <c r="K8" s="60">
        <v>3000</v>
      </c>
      <c r="L8" s="60">
        <v>3500</v>
      </c>
      <c r="M8" s="60">
        <v>4000</v>
      </c>
      <c r="N8" s="60">
        <v>4500</v>
      </c>
      <c r="O8" s="60">
        <v>5000</v>
      </c>
      <c r="P8" s="60">
        <v>5500</v>
      </c>
      <c r="Q8" s="60">
        <v>6000</v>
      </c>
      <c r="R8" s="60">
        <v>6500</v>
      </c>
      <c r="S8" s="60">
        <v>7000</v>
      </c>
      <c r="T8" s="60">
        <v>7500</v>
      </c>
      <c r="U8" s="60">
        <v>8000</v>
      </c>
      <c r="V8" s="60">
        <v>8500</v>
      </c>
      <c r="W8" s="60">
        <v>9000</v>
      </c>
      <c r="X8" s="60">
        <v>9500</v>
      </c>
      <c r="Y8" s="60">
        <v>10000</v>
      </c>
      <c r="Z8" s="60">
        <v>10500</v>
      </c>
      <c r="AA8" s="61">
        <v>11000</v>
      </c>
      <c r="AB8" s="60">
        <v>11500</v>
      </c>
      <c r="AC8" s="60">
        <v>12000</v>
      </c>
      <c r="AD8" s="60">
        <v>12500</v>
      </c>
      <c r="AE8" s="60">
        <v>13000</v>
      </c>
      <c r="AF8" s="60">
        <v>13500</v>
      </c>
      <c r="AG8" s="60">
        <v>14000</v>
      </c>
      <c r="AH8" s="61">
        <v>14500</v>
      </c>
      <c r="AI8" s="259"/>
      <c r="AJ8" s="259"/>
      <c r="AK8" s="259"/>
      <c r="AL8" s="259"/>
      <c r="AM8" s="260"/>
    </row>
    <row r="9" spans="1:39" x14ac:dyDescent="0.25">
      <c r="A9" s="306"/>
      <c r="B9" s="306"/>
      <c r="C9" s="309"/>
      <c r="D9" s="59" t="s">
        <v>117</v>
      </c>
      <c r="E9" s="62">
        <v>0</v>
      </c>
      <c r="F9" s="63">
        <v>29.4861</v>
      </c>
      <c r="G9" s="63">
        <v>56.059699999999999</v>
      </c>
      <c r="H9" s="63">
        <v>77</v>
      </c>
      <c r="I9" s="63">
        <v>94.709800000000001</v>
      </c>
      <c r="J9" s="63">
        <v>111.19799999999999</v>
      </c>
      <c r="K9" s="63">
        <v>124.131</v>
      </c>
      <c r="L9" s="63">
        <v>136.26</v>
      </c>
      <c r="M9" s="63">
        <v>147.07300000000001</v>
      </c>
      <c r="N9" s="63">
        <v>154.041</v>
      </c>
      <c r="O9" s="63">
        <v>160.5</v>
      </c>
      <c r="P9" s="63">
        <v>165.566</v>
      </c>
      <c r="Q9" s="63">
        <v>167.49600000000001</v>
      </c>
      <c r="R9" s="63">
        <v>169.17599999999999</v>
      </c>
      <c r="S9" s="63">
        <v>169.47399999999999</v>
      </c>
      <c r="T9" s="63">
        <v>169.47399999999999</v>
      </c>
      <c r="U9" s="63">
        <v>169.47399999999999</v>
      </c>
      <c r="V9" s="63">
        <v>169.47399999999999</v>
      </c>
      <c r="W9" s="63">
        <v>169.47399999999999</v>
      </c>
      <c r="X9" s="63">
        <v>169.47399999999999</v>
      </c>
      <c r="Y9" s="63">
        <v>169.47399999999999</v>
      </c>
      <c r="Z9" s="63">
        <v>169.47399999999999</v>
      </c>
      <c r="AA9" s="64">
        <v>169.47399999999999</v>
      </c>
      <c r="AB9" s="63">
        <v>169.47399999999999</v>
      </c>
      <c r="AC9" s="63">
        <v>169.47399999999999</v>
      </c>
      <c r="AD9" s="63">
        <v>169.47399999999999</v>
      </c>
      <c r="AE9" s="63">
        <v>169.47399999999999</v>
      </c>
      <c r="AF9" s="63">
        <v>169.47399999999999</v>
      </c>
      <c r="AG9" s="63">
        <v>169.47399999999999</v>
      </c>
      <c r="AH9" s="64">
        <v>169.47399999999999</v>
      </c>
      <c r="AI9" s="70"/>
      <c r="AJ9" s="70"/>
      <c r="AK9" s="70"/>
      <c r="AL9" s="70"/>
      <c r="AM9" s="258"/>
    </row>
    <row r="10" spans="1:39" x14ac:dyDescent="0.25">
      <c r="A10" s="307" t="s">
        <v>337</v>
      </c>
      <c r="B10" s="307" t="s">
        <v>12</v>
      </c>
      <c r="C10" s="310">
        <v>16700</v>
      </c>
      <c r="D10" s="59" t="s">
        <v>116</v>
      </c>
      <c r="E10" s="65">
        <v>0</v>
      </c>
      <c r="F10" s="65">
        <v>500</v>
      </c>
      <c r="G10" s="65">
        <v>1000</v>
      </c>
      <c r="H10" s="65">
        <v>1500</v>
      </c>
      <c r="I10" s="65">
        <v>2000</v>
      </c>
      <c r="J10" s="65">
        <v>2500</v>
      </c>
      <c r="K10" s="65">
        <v>3000</v>
      </c>
      <c r="L10" s="65">
        <v>3500</v>
      </c>
      <c r="M10" s="65">
        <v>4000</v>
      </c>
      <c r="N10" s="65">
        <v>4500</v>
      </c>
      <c r="O10" s="65">
        <v>5000</v>
      </c>
      <c r="P10" s="65">
        <v>5500</v>
      </c>
      <c r="Q10" s="65">
        <v>6000</v>
      </c>
      <c r="R10" s="65">
        <v>6500</v>
      </c>
      <c r="S10" s="65">
        <v>7000</v>
      </c>
      <c r="T10" s="65">
        <v>7500</v>
      </c>
      <c r="U10" s="65">
        <v>8000</v>
      </c>
      <c r="V10" s="65">
        <v>8500</v>
      </c>
      <c r="W10" s="65">
        <v>9000</v>
      </c>
      <c r="X10" s="65">
        <v>9500</v>
      </c>
      <c r="Y10" s="65">
        <v>10000</v>
      </c>
      <c r="Z10" s="65">
        <v>10500</v>
      </c>
      <c r="AA10" s="65">
        <v>11000</v>
      </c>
      <c r="AB10" s="65">
        <v>11500</v>
      </c>
      <c r="AC10" s="65">
        <v>12000</v>
      </c>
      <c r="AD10" s="65">
        <v>12500</v>
      </c>
      <c r="AE10" s="65">
        <v>13000</v>
      </c>
      <c r="AF10" s="65">
        <v>13500</v>
      </c>
      <c r="AG10" s="65">
        <v>14000</v>
      </c>
      <c r="AH10" s="65">
        <v>14500</v>
      </c>
      <c r="AI10" s="65">
        <v>15000</v>
      </c>
      <c r="AJ10" s="65">
        <v>15500</v>
      </c>
      <c r="AK10" s="65">
        <v>16000</v>
      </c>
      <c r="AL10" s="65">
        <v>16500</v>
      </c>
      <c r="AM10" s="261">
        <v>17000</v>
      </c>
    </row>
    <row r="11" spans="1:39" x14ac:dyDescent="0.25">
      <c r="A11" s="311"/>
      <c r="B11" s="306"/>
      <c r="C11" s="312"/>
      <c r="D11" s="59" t="s">
        <v>117</v>
      </c>
      <c r="E11" s="67">
        <v>0</v>
      </c>
      <c r="F11" s="68">
        <v>15.638400000000001</v>
      </c>
      <c r="G11" s="68">
        <v>43.7316</v>
      </c>
      <c r="H11" s="68">
        <v>66.2483</v>
      </c>
      <c r="I11" s="68">
        <v>87.347200000000001</v>
      </c>
      <c r="J11" s="68">
        <v>103.416</v>
      </c>
      <c r="K11" s="68">
        <v>119.408</v>
      </c>
      <c r="L11" s="68">
        <v>131.57</v>
      </c>
      <c r="M11" s="68">
        <v>140.05699999999999</v>
      </c>
      <c r="N11" s="68">
        <v>150.25700000000001</v>
      </c>
      <c r="O11" s="68">
        <v>156.93199999999999</v>
      </c>
      <c r="P11" s="68">
        <v>162.68299999999999</v>
      </c>
      <c r="Q11" s="68">
        <v>167.46199999999999</v>
      </c>
      <c r="R11" s="68">
        <v>171.239</v>
      </c>
      <c r="S11" s="68">
        <v>173.99799999999999</v>
      </c>
      <c r="T11" s="68">
        <v>175.733</v>
      </c>
      <c r="U11" s="68">
        <v>176.452</v>
      </c>
      <c r="V11" s="68">
        <v>176.452</v>
      </c>
      <c r="W11" s="68">
        <v>176.452</v>
      </c>
      <c r="X11" s="68">
        <v>176.452</v>
      </c>
      <c r="Y11" s="68">
        <v>176.452</v>
      </c>
      <c r="Z11" s="68">
        <v>176.452</v>
      </c>
      <c r="AA11" s="68">
        <v>176.452</v>
      </c>
      <c r="AB11" s="68">
        <v>176.452</v>
      </c>
      <c r="AC11" s="68">
        <v>176.452</v>
      </c>
      <c r="AD11" s="68">
        <v>176.452</v>
      </c>
      <c r="AE11" s="68">
        <v>176.452</v>
      </c>
      <c r="AF11" s="68">
        <v>176.452</v>
      </c>
      <c r="AG11" s="68">
        <v>176.452</v>
      </c>
      <c r="AH11" s="68">
        <v>176.452</v>
      </c>
      <c r="AI11" s="68">
        <v>176.452</v>
      </c>
      <c r="AJ11" s="68">
        <v>176.452</v>
      </c>
      <c r="AK11" s="68">
        <v>176.452</v>
      </c>
      <c r="AL11" s="68">
        <v>176.452</v>
      </c>
      <c r="AM11" s="262">
        <v>176.452</v>
      </c>
    </row>
    <row r="12" spans="1:39" x14ac:dyDescent="0.25">
      <c r="A12" s="307" t="s">
        <v>338</v>
      </c>
      <c r="B12" s="307" t="s">
        <v>12</v>
      </c>
      <c r="C12" s="310">
        <v>10500</v>
      </c>
      <c r="D12" s="59" t="s">
        <v>116</v>
      </c>
      <c r="E12" s="65">
        <v>0</v>
      </c>
      <c r="F12" s="65">
        <v>500</v>
      </c>
      <c r="G12" s="65">
        <v>1000</v>
      </c>
      <c r="H12" s="65">
        <v>1500</v>
      </c>
      <c r="I12" s="65">
        <v>2000</v>
      </c>
      <c r="J12" s="65">
        <v>2500</v>
      </c>
      <c r="K12" s="65">
        <v>3000</v>
      </c>
      <c r="L12" s="65">
        <v>3500</v>
      </c>
      <c r="M12" s="65">
        <v>4000</v>
      </c>
      <c r="N12" s="65">
        <v>4500</v>
      </c>
      <c r="O12" s="65">
        <v>5000</v>
      </c>
      <c r="P12" s="65">
        <v>5500</v>
      </c>
      <c r="Q12" s="65">
        <v>6000</v>
      </c>
      <c r="R12" s="65">
        <v>6500</v>
      </c>
      <c r="S12" s="65">
        <v>7000</v>
      </c>
      <c r="T12" s="65">
        <v>7500</v>
      </c>
      <c r="U12" s="65">
        <v>8000</v>
      </c>
      <c r="V12" s="65">
        <v>8500</v>
      </c>
      <c r="W12" s="65">
        <v>9000</v>
      </c>
      <c r="X12" s="65">
        <v>9500</v>
      </c>
      <c r="Y12" s="65">
        <v>10000</v>
      </c>
      <c r="Z12" s="65">
        <v>10500</v>
      </c>
      <c r="AA12" s="65"/>
      <c r="AB12" s="65"/>
      <c r="AC12" s="65"/>
      <c r="AD12" s="65"/>
      <c r="AE12" s="65"/>
      <c r="AF12" s="66"/>
      <c r="AG12" s="66"/>
      <c r="AH12" s="66"/>
      <c r="AI12" s="66"/>
      <c r="AJ12" s="66"/>
      <c r="AK12" s="66"/>
      <c r="AL12" s="66"/>
      <c r="AM12" s="257"/>
    </row>
    <row r="13" spans="1:39" x14ac:dyDescent="0.25">
      <c r="A13" s="311"/>
      <c r="B13" s="306"/>
      <c r="C13" s="312"/>
      <c r="D13" s="59" t="s">
        <v>117</v>
      </c>
      <c r="E13" s="67">
        <v>0</v>
      </c>
      <c r="F13" s="68">
        <v>11.1694</v>
      </c>
      <c r="G13" s="68">
        <v>20.726199999999999</v>
      </c>
      <c r="H13" s="68">
        <v>46.136400000000002</v>
      </c>
      <c r="I13" s="68">
        <v>67.468900000000005</v>
      </c>
      <c r="J13" s="68">
        <v>93.039400000000001</v>
      </c>
      <c r="K13" s="68">
        <v>111.958</v>
      </c>
      <c r="L13" s="68">
        <v>122.983</v>
      </c>
      <c r="M13" s="68">
        <v>129.80199999999999</v>
      </c>
      <c r="N13" s="68">
        <v>134.90600000000001</v>
      </c>
      <c r="O13" s="68">
        <v>138.73500000000001</v>
      </c>
      <c r="P13" s="68">
        <v>138.73500000000001</v>
      </c>
      <c r="Q13" s="68">
        <v>138.73500000000001</v>
      </c>
      <c r="R13" s="68">
        <v>138.73500000000001</v>
      </c>
      <c r="S13" s="68">
        <v>138.73500000000001</v>
      </c>
      <c r="T13" s="68">
        <v>138.73500000000001</v>
      </c>
      <c r="U13" s="68">
        <v>138.73500000000001</v>
      </c>
      <c r="V13" s="68">
        <v>138.73500000000001</v>
      </c>
      <c r="W13" s="68">
        <v>138.73500000000001</v>
      </c>
      <c r="X13" s="68">
        <v>138.73500000000001</v>
      </c>
      <c r="Y13" s="68">
        <v>138.73500000000001</v>
      </c>
      <c r="Z13" s="68">
        <v>138.73500000000001</v>
      </c>
      <c r="AA13" s="68"/>
      <c r="AB13" s="68"/>
      <c r="AC13" s="68"/>
      <c r="AD13" s="68"/>
      <c r="AE13" s="68"/>
      <c r="AF13" s="69"/>
      <c r="AG13" s="69"/>
      <c r="AH13" s="69"/>
      <c r="AI13" s="69"/>
      <c r="AJ13" s="69"/>
      <c r="AK13" s="69"/>
      <c r="AL13" s="69"/>
      <c r="AM13" s="263"/>
    </row>
    <row r="14" spans="1:39" x14ac:dyDescent="0.25">
      <c r="A14" s="307" t="s">
        <v>339</v>
      </c>
      <c r="B14" s="307" t="s">
        <v>12</v>
      </c>
      <c r="C14" s="310">
        <v>22000</v>
      </c>
      <c r="D14" s="59" t="s">
        <v>116</v>
      </c>
      <c r="E14" s="65">
        <v>0</v>
      </c>
      <c r="F14" s="65">
        <v>1000</v>
      </c>
      <c r="G14" s="65">
        <v>2000</v>
      </c>
      <c r="H14" s="65">
        <v>3000</v>
      </c>
      <c r="I14" s="65">
        <v>4000</v>
      </c>
      <c r="J14" s="65">
        <v>5000</v>
      </c>
      <c r="K14" s="65">
        <v>6000</v>
      </c>
      <c r="L14" s="65">
        <v>7000</v>
      </c>
      <c r="M14" s="65">
        <v>8000</v>
      </c>
      <c r="N14" s="65">
        <v>9000</v>
      </c>
      <c r="O14" s="65">
        <v>10000</v>
      </c>
      <c r="P14" s="65">
        <v>11000</v>
      </c>
      <c r="Q14" s="65">
        <v>12000</v>
      </c>
      <c r="R14" s="65">
        <v>13000</v>
      </c>
      <c r="S14" s="65">
        <v>14000</v>
      </c>
      <c r="T14" s="65">
        <v>15000</v>
      </c>
      <c r="U14" s="65">
        <v>16000</v>
      </c>
      <c r="V14" s="65">
        <v>17000</v>
      </c>
      <c r="W14" s="65">
        <v>18000</v>
      </c>
      <c r="X14" s="65">
        <v>19000</v>
      </c>
      <c r="Y14" s="65">
        <v>20000</v>
      </c>
      <c r="Z14" s="66">
        <v>21000</v>
      </c>
      <c r="AA14" s="66">
        <v>22000</v>
      </c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257"/>
    </row>
    <row r="15" spans="1:39" x14ac:dyDescent="0.25">
      <c r="A15" s="311"/>
      <c r="B15" s="306"/>
      <c r="C15" s="312"/>
      <c r="D15" s="59" t="s">
        <v>117</v>
      </c>
      <c r="E15" s="67">
        <v>0</v>
      </c>
      <c r="F15" s="68">
        <v>24.283000000000001</v>
      </c>
      <c r="G15" s="68">
        <v>74.183800000000005</v>
      </c>
      <c r="H15" s="68">
        <v>112.563</v>
      </c>
      <c r="I15" s="68">
        <v>141.53700000000001</v>
      </c>
      <c r="J15" s="68">
        <v>163.822</v>
      </c>
      <c r="K15" s="68">
        <v>181.81899999999999</v>
      </c>
      <c r="L15" s="68">
        <v>196.62899999999999</v>
      </c>
      <c r="M15" s="68">
        <v>208.17099999999999</v>
      </c>
      <c r="N15" s="68">
        <v>221.49</v>
      </c>
      <c r="O15" s="68">
        <v>231.626</v>
      </c>
      <c r="P15" s="68">
        <v>241.85599999999999</v>
      </c>
      <c r="Q15" s="68">
        <v>246.53899999999999</v>
      </c>
      <c r="R15" s="68">
        <v>246.53899999999999</v>
      </c>
      <c r="S15" s="68">
        <v>246.53899999999999</v>
      </c>
      <c r="T15" s="68">
        <v>246.53899999999999</v>
      </c>
      <c r="U15" s="68">
        <v>246.53899999999999</v>
      </c>
      <c r="V15" s="68">
        <v>246.53899999999999</v>
      </c>
      <c r="W15" s="68">
        <v>246.53899999999999</v>
      </c>
      <c r="X15" s="68">
        <v>246.53899999999999</v>
      </c>
      <c r="Y15" s="68">
        <v>246.53899999999999</v>
      </c>
      <c r="Z15" s="69">
        <v>246.53899999999999</v>
      </c>
      <c r="AA15" s="69">
        <v>246.53899999999999</v>
      </c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263"/>
    </row>
    <row r="16" spans="1:39" x14ac:dyDescent="0.25">
      <c r="A16" s="307" t="s">
        <v>340</v>
      </c>
      <c r="B16" s="307" t="s">
        <v>12</v>
      </c>
      <c r="C16" s="310">
        <v>6000</v>
      </c>
      <c r="D16" s="59" t="s">
        <v>116</v>
      </c>
      <c r="E16" s="65">
        <v>0</v>
      </c>
      <c r="F16" s="65">
        <v>500</v>
      </c>
      <c r="G16" s="65">
        <v>1000</v>
      </c>
      <c r="H16" s="65">
        <v>1500</v>
      </c>
      <c r="I16" s="65">
        <v>2000</v>
      </c>
      <c r="J16" s="65">
        <v>2500</v>
      </c>
      <c r="K16" s="65">
        <v>3000</v>
      </c>
      <c r="L16" s="65">
        <v>3500</v>
      </c>
      <c r="M16" s="65">
        <v>4000</v>
      </c>
      <c r="N16" s="65">
        <v>4500</v>
      </c>
      <c r="O16" s="65">
        <v>5000</v>
      </c>
      <c r="P16" s="65">
        <v>5500</v>
      </c>
      <c r="Q16" s="65">
        <v>6000</v>
      </c>
      <c r="R16" s="65"/>
      <c r="S16" s="65"/>
      <c r="T16" s="65"/>
      <c r="U16" s="65"/>
      <c r="V16" s="65"/>
      <c r="W16" s="65"/>
      <c r="X16" s="65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257"/>
    </row>
    <row r="17" spans="1:39" x14ac:dyDescent="0.25">
      <c r="A17" s="311"/>
      <c r="B17" s="306"/>
      <c r="C17" s="312"/>
      <c r="D17" s="59" t="s">
        <v>117</v>
      </c>
      <c r="E17" s="67">
        <v>0</v>
      </c>
      <c r="F17" s="68">
        <v>43.780500000000004</v>
      </c>
      <c r="G17" s="68">
        <v>76.089699999999993</v>
      </c>
      <c r="H17" s="68">
        <v>88.841399999999993</v>
      </c>
      <c r="I17" s="68">
        <v>94.874799999999993</v>
      </c>
      <c r="J17" s="68">
        <v>97.1327</v>
      </c>
      <c r="K17" s="68">
        <v>97.1327</v>
      </c>
      <c r="L17" s="68">
        <v>97.1327</v>
      </c>
      <c r="M17" s="68">
        <v>97.1327</v>
      </c>
      <c r="N17" s="68">
        <v>97.1327</v>
      </c>
      <c r="O17" s="68">
        <v>97.1327</v>
      </c>
      <c r="P17" s="68">
        <v>97.1327</v>
      </c>
      <c r="Q17" s="68">
        <v>97.1327</v>
      </c>
      <c r="R17" s="68"/>
      <c r="S17" s="68"/>
      <c r="T17" s="68"/>
      <c r="U17" s="68"/>
      <c r="V17" s="68"/>
      <c r="W17" s="68"/>
      <c r="X17" s="68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263"/>
    </row>
    <row r="18" spans="1:39" x14ac:dyDescent="0.25">
      <c r="A18" s="307" t="s">
        <v>341</v>
      </c>
      <c r="B18" s="313">
        <v>0.5</v>
      </c>
      <c r="C18" s="310">
        <v>16800</v>
      </c>
      <c r="D18" s="59" t="s">
        <v>116</v>
      </c>
      <c r="E18" s="65">
        <v>0</v>
      </c>
      <c r="F18" s="65">
        <v>600</v>
      </c>
      <c r="G18" s="65">
        <v>1200</v>
      </c>
      <c r="H18" s="65">
        <v>1800</v>
      </c>
      <c r="I18" s="65">
        <v>2400</v>
      </c>
      <c r="J18" s="65">
        <v>3000</v>
      </c>
      <c r="K18" s="65">
        <v>3600</v>
      </c>
      <c r="L18" s="65">
        <v>4200</v>
      </c>
      <c r="M18" s="65">
        <v>4800</v>
      </c>
      <c r="N18" s="65">
        <v>5400</v>
      </c>
      <c r="O18" s="65">
        <v>6000</v>
      </c>
      <c r="P18" s="65">
        <v>6600</v>
      </c>
      <c r="Q18" s="65">
        <v>7200</v>
      </c>
      <c r="R18" s="65">
        <v>7800</v>
      </c>
      <c r="S18" s="65">
        <v>8400</v>
      </c>
      <c r="T18" s="66">
        <v>9000</v>
      </c>
      <c r="U18" s="66">
        <v>9600</v>
      </c>
      <c r="V18" s="66">
        <v>10200</v>
      </c>
      <c r="W18" s="66">
        <v>10800</v>
      </c>
      <c r="X18" s="66">
        <v>11400</v>
      </c>
      <c r="Y18" s="66">
        <v>12000</v>
      </c>
      <c r="Z18" s="66">
        <v>12600</v>
      </c>
      <c r="AA18" s="66">
        <v>13200</v>
      </c>
      <c r="AB18" s="66">
        <v>13800</v>
      </c>
      <c r="AC18" s="66">
        <v>14400</v>
      </c>
      <c r="AD18" s="66">
        <v>15000</v>
      </c>
      <c r="AE18" s="66">
        <v>15600</v>
      </c>
      <c r="AF18" s="66">
        <v>16200</v>
      </c>
      <c r="AG18" s="66">
        <v>16800</v>
      </c>
      <c r="AH18" s="66"/>
      <c r="AI18" s="66"/>
      <c r="AJ18" s="66"/>
      <c r="AK18" s="66"/>
      <c r="AL18" s="66"/>
      <c r="AM18" s="257"/>
    </row>
    <row r="19" spans="1:39" x14ac:dyDescent="0.25">
      <c r="A19" s="306"/>
      <c r="B19" s="309"/>
      <c r="C19" s="309"/>
      <c r="D19" s="59" t="s">
        <v>117</v>
      </c>
      <c r="E19" s="62">
        <v>0</v>
      </c>
      <c r="F19" s="63">
        <v>54.326237263000003</v>
      </c>
      <c r="G19" s="63">
        <v>77.924362751999993</v>
      </c>
      <c r="H19" s="63">
        <v>98.782756120000002</v>
      </c>
      <c r="I19" s="63">
        <v>115.249672866</v>
      </c>
      <c r="J19" s="63">
        <v>130.06932745700001</v>
      </c>
      <c r="K19" s="63">
        <v>140.49770916899999</v>
      </c>
      <c r="L19" s="63">
        <v>151.47538200899999</v>
      </c>
      <c r="M19" s="63">
        <v>163.45282175</v>
      </c>
      <c r="N19" s="63">
        <v>171</v>
      </c>
      <c r="O19" s="63">
        <v>177.46015299999999</v>
      </c>
      <c r="P19" s="63">
        <v>182.146242</v>
      </c>
      <c r="Q19" s="63">
        <v>187.68642165599999</v>
      </c>
      <c r="R19" s="63">
        <v>189.07350400000001</v>
      </c>
      <c r="S19" s="63">
        <v>189.32492286199999</v>
      </c>
      <c r="T19" s="70">
        <v>189.32492286199999</v>
      </c>
      <c r="U19" s="70">
        <v>189.32492286199999</v>
      </c>
      <c r="V19" s="70">
        <v>189.32492286199999</v>
      </c>
      <c r="W19" s="70">
        <v>189.32492286199999</v>
      </c>
      <c r="X19" s="70">
        <v>189.32492286199999</v>
      </c>
      <c r="Y19" s="70">
        <v>189.32492286199999</v>
      </c>
      <c r="Z19" s="70">
        <v>189.32492286199999</v>
      </c>
      <c r="AA19" s="70">
        <v>189.32492286199999</v>
      </c>
      <c r="AB19" s="70">
        <v>189.32492286199999</v>
      </c>
      <c r="AC19" s="70">
        <v>189.32492286199999</v>
      </c>
      <c r="AD19" s="70">
        <v>189.32492286199999</v>
      </c>
      <c r="AE19" s="70">
        <v>189.32492286199999</v>
      </c>
      <c r="AF19" s="70">
        <v>189.32492286199999</v>
      </c>
      <c r="AG19" s="70">
        <v>189.32492286199999</v>
      </c>
      <c r="AH19" s="70"/>
      <c r="AI19" s="70"/>
      <c r="AJ19" s="70"/>
      <c r="AK19" s="70"/>
      <c r="AL19" s="70"/>
      <c r="AM19" s="258"/>
    </row>
    <row r="20" spans="1:39" x14ac:dyDescent="0.25">
      <c r="A20" s="19" t="s">
        <v>120</v>
      </c>
      <c r="B20" s="56"/>
      <c r="C20" s="56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8"/>
      <c r="AE20" s="58"/>
      <c r="AF20" s="58"/>
      <c r="AG20" s="58"/>
      <c r="AH20" s="58"/>
      <c r="AI20" s="58"/>
      <c r="AJ20" s="58"/>
      <c r="AK20" s="58"/>
      <c r="AL20" s="58"/>
      <c r="AM20" s="58"/>
    </row>
    <row r="21" spans="1:39" ht="15.75" customHeight="1" x14ac:dyDescent="0.25">
      <c r="A21" s="307" t="s">
        <v>342</v>
      </c>
      <c r="B21" s="307" t="s">
        <v>12</v>
      </c>
      <c r="C21" s="310">
        <v>11000</v>
      </c>
      <c r="D21" s="59" t="s">
        <v>116</v>
      </c>
      <c r="E21" s="65">
        <v>0</v>
      </c>
      <c r="F21" s="65">
        <v>1100</v>
      </c>
      <c r="G21" s="65">
        <v>2200</v>
      </c>
      <c r="H21" s="65">
        <v>3300</v>
      </c>
      <c r="I21" s="65">
        <v>4400</v>
      </c>
      <c r="J21" s="65">
        <v>5500</v>
      </c>
      <c r="K21" s="65">
        <v>6600</v>
      </c>
      <c r="L21" s="65">
        <v>7700</v>
      </c>
      <c r="M21" s="65">
        <v>8800</v>
      </c>
      <c r="N21" s="65">
        <v>9900</v>
      </c>
      <c r="O21" s="65">
        <v>11000</v>
      </c>
      <c r="P21" s="65"/>
      <c r="Q21" s="65"/>
      <c r="R21" s="65"/>
      <c r="S21" s="65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257"/>
    </row>
    <row r="22" spans="1:39" ht="15.75" customHeight="1" x14ac:dyDescent="0.25">
      <c r="A22" s="306"/>
      <c r="B22" s="306"/>
      <c r="C22" s="309"/>
      <c r="D22" s="59" t="s">
        <v>117</v>
      </c>
      <c r="E22" s="62">
        <v>0</v>
      </c>
      <c r="F22" s="63">
        <v>49.951631710310799</v>
      </c>
      <c r="G22" s="63">
        <v>93.225415807183296</v>
      </c>
      <c r="H22" s="63">
        <v>118.25322742687899</v>
      </c>
      <c r="I22" s="63">
        <v>122.347666177604</v>
      </c>
      <c r="J22" s="63">
        <v>124.03503097024</v>
      </c>
      <c r="K22" s="63">
        <v>124.03503097024</v>
      </c>
      <c r="L22" s="63">
        <v>124.03503097024</v>
      </c>
      <c r="M22" s="63">
        <v>124.03503097024</v>
      </c>
      <c r="N22" s="63">
        <v>124.03503097024</v>
      </c>
      <c r="O22" s="63">
        <v>124.03503097024</v>
      </c>
      <c r="P22" s="63"/>
      <c r="Q22" s="63"/>
      <c r="R22" s="63"/>
      <c r="S22" s="63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258"/>
    </row>
    <row r="23" spans="1:39" ht="15.75" customHeight="1" x14ac:dyDescent="0.25">
      <c r="A23" s="307" t="s">
        <v>343</v>
      </c>
      <c r="B23" s="307" t="s">
        <v>12</v>
      </c>
      <c r="C23" s="310">
        <v>22500</v>
      </c>
      <c r="D23" s="59" t="s">
        <v>116</v>
      </c>
      <c r="E23" s="65">
        <v>0</v>
      </c>
      <c r="F23" s="65">
        <v>1500</v>
      </c>
      <c r="G23" s="65">
        <v>3000</v>
      </c>
      <c r="H23" s="65">
        <v>4500</v>
      </c>
      <c r="I23" s="65">
        <v>6000</v>
      </c>
      <c r="J23" s="65">
        <v>7500</v>
      </c>
      <c r="K23" s="65">
        <v>9000</v>
      </c>
      <c r="L23" s="65">
        <v>10500</v>
      </c>
      <c r="M23" s="65">
        <v>12000</v>
      </c>
      <c r="N23" s="65">
        <v>13500</v>
      </c>
      <c r="O23" s="65">
        <v>15000</v>
      </c>
      <c r="P23" s="65">
        <v>16500</v>
      </c>
      <c r="Q23" s="65">
        <v>18000</v>
      </c>
      <c r="R23" s="65">
        <v>19500</v>
      </c>
      <c r="S23" s="65">
        <v>21000</v>
      </c>
      <c r="T23" s="66">
        <v>22500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257"/>
    </row>
    <row r="24" spans="1:39" ht="15.75" customHeight="1" x14ac:dyDescent="0.25">
      <c r="A24" s="306"/>
      <c r="B24" s="306"/>
      <c r="C24" s="309"/>
      <c r="D24" s="59" t="s">
        <v>117</v>
      </c>
      <c r="E24" s="62">
        <v>0</v>
      </c>
      <c r="F24" s="63">
        <v>85.110635471687104</v>
      </c>
      <c r="G24" s="63">
        <v>136.89372935090199</v>
      </c>
      <c r="H24" s="63">
        <v>179.49384955001801</v>
      </c>
      <c r="I24" s="63">
        <v>203.86285809423401</v>
      </c>
      <c r="J24" s="63">
        <v>216.27987364278999</v>
      </c>
      <c r="K24" s="63">
        <v>218.76844181844501</v>
      </c>
      <c r="L24" s="63">
        <v>218.76844181844501</v>
      </c>
      <c r="M24" s="63">
        <v>218.76844181844501</v>
      </c>
      <c r="N24" s="63">
        <v>218.76844181844501</v>
      </c>
      <c r="O24" s="63">
        <v>218.76844181844501</v>
      </c>
      <c r="P24" s="63">
        <v>218.76844181844501</v>
      </c>
      <c r="Q24" s="63">
        <v>218.76844181844501</v>
      </c>
      <c r="R24" s="63">
        <v>218.76844181844501</v>
      </c>
      <c r="S24" s="63">
        <v>218.76844181844501</v>
      </c>
      <c r="T24" s="70">
        <v>218.76844181844501</v>
      </c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258"/>
    </row>
    <row r="25" spans="1:39" ht="15.75" customHeight="1" x14ac:dyDescent="0.25">
      <c r="A25" s="307" t="s">
        <v>344</v>
      </c>
      <c r="B25" s="307" t="s">
        <v>12</v>
      </c>
      <c r="C25" s="310">
        <v>13200</v>
      </c>
      <c r="D25" s="59" t="s">
        <v>116</v>
      </c>
      <c r="E25" s="65">
        <v>0</v>
      </c>
      <c r="F25" s="65">
        <v>1200</v>
      </c>
      <c r="G25" s="65">
        <v>2400</v>
      </c>
      <c r="H25" s="65">
        <v>3600</v>
      </c>
      <c r="I25" s="65">
        <v>4800</v>
      </c>
      <c r="J25" s="65">
        <v>6000</v>
      </c>
      <c r="K25" s="65">
        <v>7200</v>
      </c>
      <c r="L25" s="65">
        <v>8400</v>
      </c>
      <c r="M25" s="65">
        <v>9600</v>
      </c>
      <c r="N25" s="65">
        <v>10800</v>
      </c>
      <c r="O25" s="65">
        <v>12000</v>
      </c>
      <c r="P25" s="65">
        <v>13200</v>
      </c>
      <c r="Q25" s="65"/>
      <c r="R25" s="65"/>
      <c r="S25" s="65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257"/>
    </row>
    <row r="26" spans="1:39" ht="15.75" customHeight="1" x14ac:dyDescent="0.25">
      <c r="A26" s="306"/>
      <c r="B26" s="306"/>
      <c r="C26" s="309"/>
      <c r="D26" s="59" t="s">
        <v>117</v>
      </c>
      <c r="E26" s="62">
        <v>0</v>
      </c>
      <c r="F26" s="63">
        <v>53.710500000000003</v>
      </c>
      <c r="G26" s="63">
        <v>94.148799999999994</v>
      </c>
      <c r="H26" s="63">
        <v>124.386</v>
      </c>
      <c r="I26" s="63">
        <v>132.465</v>
      </c>
      <c r="J26" s="63">
        <v>134.77000000000001</v>
      </c>
      <c r="K26" s="63">
        <v>134.77000000000001</v>
      </c>
      <c r="L26" s="63">
        <v>134.77000000000001</v>
      </c>
      <c r="M26" s="63">
        <v>134.77000000000001</v>
      </c>
      <c r="N26" s="63">
        <v>134.77000000000001</v>
      </c>
      <c r="O26" s="63">
        <v>134.77000000000001</v>
      </c>
      <c r="P26" s="63">
        <v>134.77000000000001</v>
      </c>
      <c r="Q26" s="63"/>
      <c r="R26" s="63"/>
      <c r="S26" s="63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258"/>
    </row>
    <row r="27" spans="1:39" ht="15.75" customHeight="1" x14ac:dyDescent="0.25">
      <c r="A27" s="307" t="s">
        <v>345</v>
      </c>
      <c r="B27" s="307" t="s">
        <v>12</v>
      </c>
      <c r="C27" s="310">
        <v>14500</v>
      </c>
      <c r="D27" s="59" t="s">
        <v>116</v>
      </c>
      <c r="E27" s="65">
        <v>0</v>
      </c>
      <c r="F27" s="65">
        <v>500</v>
      </c>
      <c r="G27" s="65">
        <v>1000</v>
      </c>
      <c r="H27" s="65">
        <v>1500</v>
      </c>
      <c r="I27" s="65">
        <v>2000</v>
      </c>
      <c r="J27" s="65">
        <v>2500</v>
      </c>
      <c r="K27" s="65">
        <v>3000</v>
      </c>
      <c r="L27" s="65">
        <v>3500</v>
      </c>
      <c r="M27" s="65">
        <v>4000</v>
      </c>
      <c r="N27" s="65">
        <v>4500</v>
      </c>
      <c r="O27" s="65">
        <v>5000</v>
      </c>
      <c r="P27" s="65">
        <v>5500</v>
      </c>
      <c r="Q27" s="65">
        <v>6000</v>
      </c>
      <c r="R27" s="65">
        <v>6500</v>
      </c>
      <c r="S27" s="65">
        <v>7000</v>
      </c>
      <c r="T27" s="66">
        <v>7500</v>
      </c>
      <c r="U27" s="66">
        <v>8000</v>
      </c>
      <c r="V27" s="66">
        <v>8500</v>
      </c>
      <c r="W27" s="66">
        <v>9000</v>
      </c>
      <c r="X27" s="66">
        <v>9500</v>
      </c>
      <c r="Y27" s="66">
        <v>10000</v>
      </c>
      <c r="Z27" s="66">
        <v>10500</v>
      </c>
      <c r="AA27" s="66">
        <v>11000</v>
      </c>
      <c r="AB27" s="66">
        <v>11500</v>
      </c>
      <c r="AC27" s="66">
        <v>12000</v>
      </c>
      <c r="AD27" s="66">
        <v>12500</v>
      </c>
      <c r="AE27" s="66">
        <v>13000</v>
      </c>
      <c r="AF27" s="66">
        <v>13500</v>
      </c>
      <c r="AG27" s="66">
        <v>14000</v>
      </c>
      <c r="AH27" s="66">
        <v>14500</v>
      </c>
      <c r="AI27" s="66"/>
      <c r="AJ27" s="66"/>
      <c r="AK27" s="66"/>
      <c r="AL27" s="66"/>
      <c r="AM27" s="257"/>
    </row>
    <row r="28" spans="1:39" ht="15.75" customHeight="1" x14ac:dyDescent="0.25">
      <c r="A28" s="311"/>
      <c r="B28" s="306"/>
      <c r="C28" s="309"/>
      <c r="D28" s="59" t="s">
        <v>117</v>
      </c>
      <c r="E28" s="62">
        <v>0</v>
      </c>
      <c r="F28" s="63">
        <v>36.280999999999999</v>
      </c>
      <c r="G28" s="63">
        <v>59.248199999999997</v>
      </c>
      <c r="H28" s="63">
        <v>79.715599999999995</v>
      </c>
      <c r="I28" s="63">
        <v>92.656199999999998</v>
      </c>
      <c r="J28" s="63">
        <v>104.84</v>
      </c>
      <c r="K28" s="63">
        <v>114.916</v>
      </c>
      <c r="L28" s="63">
        <v>121.97</v>
      </c>
      <c r="M28" s="63">
        <v>128.03700000000001</v>
      </c>
      <c r="N28" s="63">
        <v>132.221</v>
      </c>
      <c r="O28" s="63">
        <v>134.51900000000001</v>
      </c>
      <c r="P28" s="63">
        <v>134.97399999999999</v>
      </c>
      <c r="Q28" s="63">
        <v>134.97399999999999</v>
      </c>
      <c r="R28" s="63">
        <v>134.97399999999999</v>
      </c>
      <c r="S28" s="63">
        <v>134.97399999999999</v>
      </c>
      <c r="T28" s="70">
        <v>134.97399999999999</v>
      </c>
      <c r="U28" s="70">
        <v>134.97399999999999</v>
      </c>
      <c r="V28" s="70">
        <v>134.97399999999999</v>
      </c>
      <c r="W28" s="70">
        <v>134.97399999999999</v>
      </c>
      <c r="X28" s="70">
        <v>134.97399999999999</v>
      </c>
      <c r="Y28" s="70">
        <v>134.97399999999999</v>
      </c>
      <c r="Z28" s="70">
        <v>134.97399999999999</v>
      </c>
      <c r="AA28" s="70">
        <v>134.97399999999999</v>
      </c>
      <c r="AB28" s="70">
        <v>134.97399999999999</v>
      </c>
      <c r="AC28" s="70">
        <v>134.97399999999999</v>
      </c>
      <c r="AD28" s="70">
        <v>134.97399999999999</v>
      </c>
      <c r="AE28" s="70">
        <v>134.97399999999999</v>
      </c>
      <c r="AF28" s="70">
        <v>134.97399999999999</v>
      </c>
      <c r="AG28" s="70">
        <v>134.97399999999999</v>
      </c>
      <c r="AH28" s="70">
        <v>134.97399999999999</v>
      </c>
      <c r="AI28" s="70"/>
      <c r="AJ28" s="70"/>
      <c r="AK28" s="70"/>
      <c r="AL28" s="70"/>
      <c r="AM28" s="258"/>
    </row>
    <row r="29" spans="1:39" ht="15.75" customHeight="1" x14ac:dyDescent="0.25">
      <c r="A29" s="307" t="s">
        <v>346</v>
      </c>
      <c r="B29" s="307" t="s">
        <v>12</v>
      </c>
      <c r="C29" s="310">
        <v>24000</v>
      </c>
      <c r="D29" s="59" t="s">
        <v>116</v>
      </c>
      <c r="E29" s="65">
        <v>0</v>
      </c>
      <c r="F29" s="65">
        <v>1500</v>
      </c>
      <c r="G29" s="65">
        <v>3000</v>
      </c>
      <c r="H29" s="65">
        <v>4500</v>
      </c>
      <c r="I29" s="65">
        <v>6000</v>
      </c>
      <c r="J29" s="65">
        <v>7500</v>
      </c>
      <c r="K29" s="65">
        <v>9000</v>
      </c>
      <c r="L29" s="65">
        <v>10500</v>
      </c>
      <c r="M29" s="65">
        <v>12000</v>
      </c>
      <c r="N29" s="65">
        <v>13500</v>
      </c>
      <c r="O29" s="65">
        <v>15000</v>
      </c>
      <c r="P29" s="65">
        <v>16500</v>
      </c>
      <c r="Q29" s="65">
        <v>18000</v>
      </c>
      <c r="R29" s="65">
        <v>19500</v>
      </c>
      <c r="S29" s="65">
        <v>21000</v>
      </c>
      <c r="T29" s="66">
        <v>22500</v>
      </c>
      <c r="U29" s="66">
        <v>24000</v>
      </c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257"/>
    </row>
    <row r="30" spans="1:39" ht="15.75" customHeight="1" x14ac:dyDescent="0.25">
      <c r="A30" s="311"/>
      <c r="B30" s="306"/>
      <c r="C30" s="309"/>
      <c r="D30" s="59" t="s">
        <v>117</v>
      </c>
      <c r="E30" s="62">
        <v>0</v>
      </c>
      <c r="F30" s="63">
        <v>83.399699999999996</v>
      </c>
      <c r="G30" s="63">
        <v>135.51</v>
      </c>
      <c r="H30" s="63">
        <v>170.83099999999999</v>
      </c>
      <c r="I30" s="63">
        <v>191.804</v>
      </c>
      <c r="J30" s="63">
        <v>202.81700000000001</v>
      </c>
      <c r="K30" s="63">
        <v>205.61500000000001</v>
      </c>
      <c r="L30" s="63">
        <v>205.61500000000001</v>
      </c>
      <c r="M30" s="63">
        <v>205.61500000000001</v>
      </c>
      <c r="N30" s="63">
        <v>205.61500000000001</v>
      </c>
      <c r="O30" s="63">
        <v>205.61500000000001</v>
      </c>
      <c r="P30" s="63">
        <v>205.61500000000001</v>
      </c>
      <c r="Q30" s="63">
        <v>205.61500000000001</v>
      </c>
      <c r="R30" s="63">
        <v>205.61500000000001</v>
      </c>
      <c r="S30" s="63">
        <v>205.61500000000001</v>
      </c>
      <c r="T30" s="70">
        <v>205.61500000000001</v>
      </c>
      <c r="U30" s="70">
        <v>205.61500000000001</v>
      </c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258"/>
    </row>
    <row r="31" spans="1:39" ht="15.75" customHeight="1" x14ac:dyDescent="0.25">
      <c r="A31" s="307" t="s">
        <v>347</v>
      </c>
      <c r="B31" s="307" t="s">
        <v>12</v>
      </c>
      <c r="C31" s="310">
        <v>2800</v>
      </c>
      <c r="D31" s="59" t="s">
        <v>116</v>
      </c>
      <c r="E31" s="65">
        <v>0</v>
      </c>
      <c r="F31" s="65">
        <v>400</v>
      </c>
      <c r="G31" s="65">
        <v>800</v>
      </c>
      <c r="H31" s="65">
        <v>1200</v>
      </c>
      <c r="I31" s="65">
        <v>1600</v>
      </c>
      <c r="J31" s="65">
        <v>2000</v>
      </c>
      <c r="K31" s="65">
        <v>2400</v>
      </c>
      <c r="L31" s="65">
        <v>2800</v>
      </c>
      <c r="M31" s="65"/>
      <c r="N31" s="65"/>
      <c r="O31" s="65"/>
      <c r="P31" s="65"/>
      <c r="Q31" s="65"/>
      <c r="R31" s="65"/>
      <c r="S31" s="65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257"/>
    </row>
    <row r="32" spans="1:39" ht="15.75" customHeight="1" x14ac:dyDescent="0.25">
      <c r="A32" s="311"/>
      <c r="B32" s="306"/>
      <c r="C32" s="309"/>
      <c r="D32" s="59" t="s">
        <v>117</v>
      </c>
      <c r="E32" s="62">
        <v>0</v>
      </c>
      <c r="F32" s="63">
        <v>0</v>
      </c>
      <c r="G32" s="63">
        <v>0</v>
      </c>
      <c r="H32" s="63">
        <v>0</v>
      </c>
      <c r="I32" s="63">
        <v>35.983199999999997</v>
      </c>
      <c r="J32" s="63">
        <v>35.983199999999997</v>
      </c>
      <c r="K32" s="63">
        <v>35.983199999999997</v>
      </c>
      <c r="L32" s="63">
        <v>35.983199999999997</v>
      </c>
      <c r="M32" s="63"/>
      <c r="N32" s="63"/>
      <c r="O32" s="63"/>
      <c r="P32" s="63"/>
      <c r="Q32" s="63"/>
      <c r="R32" s="63"/>
      <c r="S32" s="63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258"/>
    </row>
    <row r="33" spans="1:39" ht="15.75" customHeight="1" x14ac:dyDescent="0.25">
      <c r="A33" s="307" t="s">
        <v>348</v>
      </c>
      <c r="B33" s="313">
        <v>0.25</v>
      </c>
      <c r="C33" s="310">
        <v>13000</v>
      </c>
      <c r="D33" s="59" t="s">
        <v>116</v>
      </c>
      <c r="E33" s="65">
        <v>0</v>
      </c>
      <c r="F33" s="65">
        <v>500</v>
      </c>
      <c r="G33" s="65">
        <v>1000</v>
      </c>
      <c r="H33" s="65">
        <v>1500</v>
      </c>
      <c r="I33" s="65">
        <v>2000</v>
      </c>
      <c r="J33" s="65">
        <v>2500</v>
      </c>
      <c r="K33" s="65">
        <v>3000</v>
      </c>
      <c r="L33" s="65">
        <v>3500</v>
      </c>
      <c r="M33" s="65">
        <v>4000</v>
      </c>
      <c r="N33" s="65">
        <v>4500</v>
      </c>
      <c r="O33" s="65">
        <v>5000</v>
      </c>
      <c r="P33" s="65">
        <v>5500</v>
      </c>
      <c r="Q33" s="65">
        <v>6000</v>
      </c>
      <c r="R33" s="65">
        <v>6500</v>
      </c>
      <c r="S33" s="65">
        <v>7000</v>
      </c>
      <c r="T33" s="66">
        <v>7500</v>
      </c>
      <c r="U33" s="66">
        <v>8000</v>
      </c>
      <c r="V33" s="66">
        <v>8500</v>
      </c>
      <c r="W33" s="66">
        <v>9000</v>
      </c>
      <c r="X33" s="66">
        <v>9500</v>
      </c>
      <c r="Y33" s="66">
        <v>10000</v>
      </c>
      <c r="Z33" s="66">
        <v>10500</v>
      </c>
      <c r="AA33" s="66">
        <v>11000</v>
      </c>
      <c r="AB33" s="66">
        <v>11500</v>
      </c>
      <c r="AC33" s="66">
        <v>12000</v>
      </c>
      <c r="AD33" s="66">
        <v>12500</v>
      </c>
      <c r="AE33" s="66">
        <v>13000</v>
      </c>
      <c r="AF33" s="66"/>
      <c r="AG33" s="66"/>
      <c r="AH33" s="66"/>
      <c r="AI33" s="66"/>
      <c r="AJ33" s="66"/>
      <c r="AK33" s="66"/>
      <c r="AL33" s="66"/>
      <c r="AM33" s="257"/>
    </row>
    <row r="34" spans="1:39" ht="15.75" customHeight="1" x14ac:dyDescent="0.25">
      <c r="A34" s="306"/>
      <c r="B34" s="309"/>
      <c r="C34" s="309"/>
      <c r="D34" s="59" t="s">
        <v>117</v>
      </c>
      <c r="E34" s="62">
        <v>0</v>
      </c>
      <c r="F34" s="63">
        <v>23.86208767023</v>
      </c>
      <c r="G34" s="63">
        <v>44.631010205819997</v>
      </c>
      <c r="H34" s="63">
        <v>62.306661994739997</v>
      </c>
      <c r="I34" s="63">
        <v>77.772910116060004</v>
      </c>
      <c r="J34" s="63">
        <v>93.889094670000006</v>
      </c>
      <c r="K34" s="63">
        <v>107.8214336676</v>
      </c>
      <c r="L34" s="63">
        <v>119.7524246967</v>
      </c>
      <c r="M34" s="63">
        <v>129.03255377279999</v>
      </c>
      <c r="N34" s="63">
        <v>137.87016844319999</v>
      </c>
      <c r="O34" s="63">
        <v>144.16042095</v>
      </c>
      <c r="P34" s="63">
        <v>148.9171867812</v>
      </c>
      <c r="Q34" s="63">
        <v>151.78032891449999</v>
      </c>
      <c r="R34" s="63">
        <v>152.89453583100001</v>
      </c>
      <c r="S34" s="63">
        <v>152.89453583100001</v>
      </c>
      <c r="T34" s="70">
        <v>152.89453583100001</v>
      </c>
      <c r="U34" s="70">
        <v>152.89453583100001</v>
      </c>
      <c r="V34" s="70">
        <v>152.89453583100001</v>
      </c>
      <c r="W34" s="70">
        <v>152.89453583100001</v>
      </c>
      <c r="X34" s="70">
        <v>152.89453583100001</v>
      </c>
      <c r="Y34" s="70">
        <v>152.89453583100001</v>
      </c>
      <c r="Z34" s="70">
        <v>152.89453583100001</v>
      </c>
      <c r="AA34" s="70">
        <v>152.89453583100001</v>
      </c>
      <c r="AB34" s="70">
        <v>152.89453583100001</v>
      </c>
      <c r="AC34" s="70">
        <v>152.89453583100001</v>
      </c>
      <c r="AD34" s="70">
        <v>152.89453583100001</v>
      </c>
      <c r="AE34" s="70">
        <v>152.89453583100001</v>
      </c>
      <c r="AF34" s="70"/>
      <c r="AG34" s="70"/>
      <c r="AH34" s="70"/>
      <c r="AI34" s="70"/>
      <c r="AJ34" s="70"/>
      <c r="AK34" s="70"/>
      <c r="AL34" s="70"/>
      <c r="AM34" s="258"/>
    </row>
    <row r="35" spans="1:39" ht="15.75" customHeight="1" x14ac:dyDescent="0.25">
      <c r="A35" s="307" t="s">
        <v>349</v>
      </c>
      <c r="B35" s="333">
        <f>40/150</f>
        <v>0.26666666666666666</v>
      </c>
      <c r="C35" s="310">
        <v>20000</v>
      </c>
      <c r="D35" s="59" t="s">
        <v>116</v>
      </c>
      <c r="E35" s="65">
        <v>0</v>
      </c>
      <c r="F35" s="65">
        <v>1000</v>
      </c>
      <c r="G35" s="65">
        <v>2000</v>
      </c>
      <c r="H35" s="65">
        <v>3000</v>
      </c>
      <c r="I35" s="65">
        <v>4000</v>
      </c>
      <c r="J35" s="65">
        <v>5000</v>
      </c>
      <c r="K35" s="65">
        <v>6000</v>
      </c>
      <c r="L35" s="65">
        <v>7000</v>
      </c>
      <c r="M35" s="65">
        <v>8000</v>
      </c>
      <c r="N35" s="65">
        <v>9000</v>
      </c>
      <c r="O35" s="65">
        <v>10000</v>
      </c>
      <c r="P35" s="65">
        <v>11000</v>
      </c>
      <c r="Q35" s="65">
        <v>12000</v>
      </c>
      <c r="R35" s="65">
        <v>13000</v>
      </c>
      <c r="S35" s="65">
        <v>14000</v>
      </c>
      <c r="T35" s="66">
        <v>15000</v>
      </c>
      <c r="U35" s="66">
        <v>16000</v>
      </c>
      <c r="V35" s="66">
        <v>17000</v>
      </c>
      <c r="W35" s="66">
        <v>18000</v>
      </c>
      <c r="X35" s="66">
        <v>19000</v>
      </c>
      <c r="Y35" s="66">
        <v>20000</v>
      </c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257"/>
    </row>
    <row r="36" spans="1:39" ht="15.75" customHeight="1" x14ac:dyDescent="0.25">
      <c r="A36" s="306"/>
      <c r="B36" s="309"/>
      <c r="C36" s="309"/>
      <c r="D36" s="59" t="s">
        <v>117</v>
      </c>
      <c r="E36" s="62">
        <v>0</v>
      </c>
      <c r="F36" s="63">
        <v>27.4739</v>
      </c>
      <c r="G36" s="63">
        <v>42.104100000000003</v>
      </c>
      <c r="H36" s="63">
        <v>51.274500000000003</v>
      </c>
      <c r="I36" s="63">
        <v>58.121499999999997</v>
      </c>
      <c r="J36" s="63">
        <v>69.372600000000006</v>
      </c>
      <c r="K36" s="63">
        <v>79.5334</v>
      </c>
      <c r="L36" s="63">
        <v>99.163600000000002</v>
      </c>
      <c r="M36" s="63">
        <v>115.575</v>
      </c>
      <c r="N36" s="63">
        <v>128.798</v>
      </c>
      <c r="O36" s="63">
        <v>138.387</v>
      </c>
      <c r="P36" s="63">
        <v>147.465</v>
      </c>
      <c r="Q36" s="63">
        <v>150.75299999999999</v>
      </c>
      <c r="R36" s="63">
        <v>157.00800000000001</v>
      </c>
      <c r="S36" s="63">
        <v>159.24700000000001</v>
      </c>
      <c r="T36" s="70">
        <v>159.24700000000001</v>
      </c>
      <c r="U36" s="70">
        <v>159.24700000000001</v>
      </c>
      <c r="V36" s="70">
        <v>159.24700000000001</v>
      </c>
      <c r="W36" s="70">
        <v>159.24700000000001</v>
      </c>
      <c r="X36" s="70">
        <v>159.24700000000001</v>
      </c>
      <c r="Y36" s="70">
        <v>159.24700000000001</v>
      </c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258"/>
    </row>
    <row r="37" spans="1:39" ht="15.75" customHeight="1" x14ac:dyDescent="0.25">
      <c r="A37" s="19" t="s">
        <v>124</v>
      </c>
      <c r="B37" s="56"/>
      <c r="C37" s="56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8"/>
      <c r="AE37" s="58"/>
      <c r="AF37" s="58"/>
      <c r="AG37" s="58"/>
      <c r="AH37" s="58"/>
      <c r="AI37" s="58"/>
      <c r="AJ37" s="58"/>
      <c r="AK37" s="58"/>
      <c r="AL37" s="58"/>
      <c r="AM37" s="58"/>
    </row>
    <row r="38" spans="1:39" ht="15.75" customHeight="1" x14ac:dyDescent="0.25">
      <c r="A38" s="307" t="s">
        <v>350</v>
      </c>
      <c r="B38" s="307" t="s">
        <v>12</v>
      </c>
      <c r="C38" s="310">
        <v>27800</v>
      </c>
      <c r="D38" s="59" t="s">
        <v>116</v>
      </c>
      <c r="E38" s="65">
        <v>0</v>
      </c>
      <c r="F38" s="65">
        <v>2000</v>
      </c>
      <c r="G38" s="65">
        <v>4000</v>
      </c>
      <c r="H38" s="65">
        <v>6000</v>
      </c>
      <c r="I38" s="65">
        <v>8000</v>
      </c>
      <c r="J38" s="65">
        <v>10000</v>
      </c>
      <c r="K38" s="65">
        <v>12000</v>
      </c>
      <c r="L38" s="65">
        <v>14000</v>
      </c>
      <c r="M38" s="65">
        <v>16000</v>
      </c>
      <c r="N38" s="65">
        <v>18000</v>
      </c>
      <c r="O38" s="65">
        <v>20000</v>
      </c>
      <c r="P38" s="65">
        <v>22000</v>
      </c>
      <c r="Q38" s="65">
        <v>24000</v>
      </c>
      <c r="R38" s="65">
        <v>26000</v>
      </c>
      <c r="S38" s="65">
        <v>28000</v>
      </c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257"/>
    </row>
    <row r="39" spans="1:39" ht="15.75" customHeight="1" x14ac:dyDescent="0.25">
      <c r="A39" s="311"/>
      <c r="B39" s="311"/>
      <c r="C39" s="312"/>
      <c r="D39" s="59" t="s">
        <v>117</v>
      </c>
      <c r="E39" s="67">
        <v>0</v>
      </c>
      <c r="F39" s="68">
        <v>50.974299999999999</v>
      </c>
      <c r="G39" s="68">
        <v>81.209999999999994</v>
      </c>
      <c r="H39" s="68">
        <v>91.316500000000005</v>
      </c>
      <c r="I39" s="68">
        <v>96.382300000000001</v>
      </c>
      <c r="J39" s="68">
        <v>109.46</v>
      </c>
      <c r="K39" s="68">
        <v>123.422</v>
      </c>
      <c r="L39" s="68">
        <v>148.17099999999999</v>
      </c>
      <c r="M39" s="68">
        <v>204.22300000000001</v>
      </c>
      <c r="N39" s="68">
        <v>216.291</v>
      </c>
      <c r="O39" s="68">
        <v>216.291</v>
      </c>
      <c r="P39" s="68">
        <v>216.291</v>
      </c>
      <c r="Q39" s="68">
        <v>216.291</v>
      </c>
      <c r="R39" s="68">
        <v>216.291</v>
      </c>
      <c r="S39" s="68">
        <v>216.291</v>
      </c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263"/>
    </row>
    <row r="40" spans="1:39" ht="15.75" customHeight="1" x14ac:dyDescent="0.25">
      <c r="A40" s="307" t="s">
        <v>351</v>
      </c>
      <c r="B40" s="307" t="s">
        <v>12</v>
      </c>
      <c r="C40" s="310">
        <v>14500</v>
      </c>
      <c r="D40" s="59" t="s">
        <v>116</v>
      </c>
      <c r="E40" s="65">
        <v>0</v>
      </c>
      <c r="F40" s="65">
        <v>500</v>
      </c>
      <c r="G40" s="65">
        <v>1000</v>
      </c>
      <c r="H40" s="65">
        <v>1500</v>
      </c>
      <c r="I40" s="65">
        <v>2000</v>
      </c>
      <c r="J40" s="65">
        <v>2500</v>
      </c>
      <c r="K40" s="65">
        <v>3000</v>
      </c>
      <c r="L40" s="65">
        <v>3500</v>
      </c>
      <c r="M40" s="65">
        <v>4000</v>
      </c>
      <c r="N40" s="65">
        <v>4500</v>
      </c>
      <c r="O40" s="65">
        <v>5000</v>
      </c>
      <c r="P40" s="65">
        <v>5500</v>
      </c>
      <c r="Q40" s="65">
        <v>6000</v>
      </c>
      <c r="R40" s="65">
        <v>6500</v>
      </c>
      <c r="S40" s="65">
        <v>7000</v>
      </c>
      <c r="T40" s="66">
        <v>7500</v>
      </c>
      <c r="U40" s="66">
        <v>8000</v>
      </c>
      <c r="V40" s="66">
        <v>8500</v>
      </c>
      <c r="W40" s="66">
        <v>9000</v>
      </c>
      <c r="X40" s="66">
        <v>9500</v>
      </c>
      <c r="Y40" s="66">
        <v>10000</v>
      </c>
      <c r="Z40" s="66">
        <v>10500</v>
      </c>
      <c r="AA40" s="66">
        <v>11000</v>
      </c>
      <c r="AB40" s="66">
        <v>11500</v>
      </c>
      <c r="AC40" s="66">
        <v>12000</v>
      </c>
      <c r="AD40" s="66">
        <v>12500</v>
      </c>
      <c r="AE40" s="66">
        <v>13000</v>
      </c>
      <c r="AF40" s="66">
        <v>13500</v>
      </c>
      <c r="AG40" s="66">
        <v>14000</v>
      </c>
      <c r="AH40" s="66">
        <v>14500</v>
      </c>
      <c r="AI40" s="66"/>
      <c r="AJ40" s="66"/>
      <c r="AK40" s="66"/>
      <c r="AL40" s="66"/>
      <c r="AM40" s="257"/>
    </row>
    <row r="41" spans="1:39" ht="15.75" customHeight="1" x14ac:dyDescent="0.25">
      <c r="A41" s="306"/>
      <c r="B41" s="311"/>
      <c r="C41" s="309"/>
      <c r="D41" s="59" t="s">
        <v>117</v>
      </c>
      <c r="E41" s="62">
        <v>0</v>
      </c>
      <c r="F41" s="63">
        <v>10.7961939</v>
      </c>
      <c r="G41" s="63">
        <v>41.488762601200001</v>
      </c>
      <c r="H41" s="63">
        <v>69.58980656</v>
      </c>
      <c r="I41" s="63">
        <v>94.812562189999994</v>
      </c>
      <c r="J41" s="63">
        <v>106.669085088671</v>
      </c>
      <c r="K41" s="63">
        <v>119.606988</v>
      </c>
      <c r="L41" s="63">
        <v>140.5675799798</v>
      </c>
      <c r="M41" s="63">
        <v>158.592545903</v>
      </c>
      <c r="N41" s="63">
        <v>179.93148888900001</v>
      </c>
      <c r="O41" s="63">
        <v>202.89101044029999</v>
      </c>
      <c r="P41" s="63">
        <v>214.78473021100001</v>
      </c>
      <c r="Q41" s="63">
        <v>224.11729660399999</v>
      </c>
      <c r="R41" s="63">
        <v>224.48622736799999</v>
      </c>
      <c r="S41" s="63">
        <v>224.48622736799999</v>
      </c>
      <c r="T41" s="70">
        <v>224.48622736799999</v>
      </c>
      <c r="U41" s="70">
        <v>224.48622736799999</v>
      </c>
      <c r="V41" s="70">
        <v>224.48622736799999</v>
      </c>
      <c r="W41" s="70">
        <v>224.48622736799999</v>
      </c>
      <c r="X41" s="70">
        <v>224.48622736799999</v>
      </c>
      <c r="Y41" s="70">
        <v>224.48622736799999</v>
      </c>
      <c r="Z41" s="70">
        <v>224.48622736799999</v>
      </c>
      <c r="AA41" s="70">
        <v>224.48622736799999</v>
      </c>
      <c r="AB41" s="70">
        <v>224.48622736799999</v>
      </c>
      <c r="AC41" s="70">
        <v>224.48622736799999</v>
      </c>
      <c r="AD41" s="70">
        <v>224.48622736799999</v>
      </c>
      <c r="AE41" s="70">
        <v>224.48622736799999</v>
      </c>
      <c r="AF41" s="70">
        <v>224.48622736799999</v>
      </c>
      <c r="AG41" s="70">
        <v>224.48622736799999</v>
      </c>
      <c r="AH41" s="70">
        <v>224.48622736799999</v>
      </c>
      <c r="AI41" s="70"/>
      <c r="AJ41" s="70"/>
      <c r="AK41" s="70"/>
      <c r="AL41" s="70"/>
      <c r="AM41" s="258"/>
    </row>
    <row r="42" spans="1:39" ht="15.75" customHeight="1" x14ac:dyDescent="0.25">
      <c r="A42" s="307" t="s">
        <v>352</v>
      </c>
      <c r="B42" s="307" t="s">
        <v>12</v>
      </c>
      <c r="C42" s="310">
        <v>22500</v>
      </c>
      <c r="D42" s="59" t="s">
        <v>116</v>
      </c>
      <c r="E42" s="65">
        <v>0</v>
      </c>
      <c r="F42" s="65">
        <v>1500</v>
      </c>
      <c r="G42" s="65">
        <v>3000</v>
      </c>
      <c r="H42" s="65">
        <v>4500</v>
      </c>
      <c r="I42" s="65">
        <v>6000</v>
      </c>
      <c r="J42" s="65">
        <v>7500</v>
      </c>
      <c r="K42" s="65">
        <v>9000</v>
      </c>
      <c r="L42" s="65">
        <v>10500</v>
      </c>
      <c r="M42" s="65">
        <v>12000</v>
      </c>
      <c r="N42" s="65">
        <v>13500</v>
      </c>
      <c r="O42" s="65">
        <v>15000</v>
      </c>
      <c r="P42" s="65">
        <v>16500</v>
      </c>
      <c r="Q42" s="65">
        <v>18000</v>
      </c>
      <c r="R42" s="65">
        <v>19500</v>
      </c>
      <c r="S42" s="65">
        <v>21000</v>
      </c>
      <c r="T42" s="66">
        <v>22500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257"/>
    </row>
    <row r="43" spans="1:39" ht="15.75" customHeight="1" x14ac:dyDescent="0.25">
      <c r="A43" s="306"/>
      <c r="B43" s="311"/>
      <c r="C43" s="309"/>
      <c r="D43" s="59" t="s">
        <v>117</v>
      </c>
      <c r="E43" s="62">
        <v>0</v>
      </c>
      <c r="F43" s="63">
        <v>45.806759800000002</v>
      </c>
      <c r="G43" s="63">
        <v>101.4572198</v>
      </c>
      <c r="H43" s="63">
        <v>129.918137083</v>
      </c>
      <c r="I43" s="63">
        <v>129.918137083</v>
      </c>
      <c r="J43" s="63">
        <v>129.918137083</v>
      </c>
      <c r="K43" s="63">
        <v>140.66041523000001</v>
      </c>
      <c r="L43" s="63">
        <v>172.65528881380001</v>
      </c>
      <c r="M43" s="63">
        <v>210.75409943</v>
      </c>
      <c r="N43" s="63">
        <v>245.94171829999999</v>
      </c>
      <c r="O43" s="63">
        <v>245.94171829999999</v>
      </c>
      <c r="P43" s="63">
        <v>245.94171829999999</v>
      </c>
      <c r="Q43" s="63">
        <v>245.94171829999999</v>
      </c>
      <c r="R43" s="63">
        <v>245.94171829999999</v>
      </c>
      <c r="S43" s="63">
        <v>245.94171829999999</v>
      </c>
      <c r="T43" s="70">
        <v>245.94171829999999</v>
      </c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258"/>
    </row>
    <row r="44" spans="1:39" ht="15.75" customHeight="1" x14ac:dyDescent="0.25">
      <c r="A44" s="307" t="s">
        <v>353</v>
      </c>
      <c r="B44" s="307" t="s">
        <v>12</v>
      </c>
      <c r="C44" s="310">
        <v>31500</v>
      </c>
      <c r="D44" s="59" t="s">
        <v>116</v>
      </c>
      <c r="E44" s="65">
        <v>0</v>
      </c>
      <c r="F44" s="65">
        <v>1500</v>
      </c>
      <c r="G44" s="65">
        <v>3000</v>
      </c>
      <c r="H44" s="65">
        <v>4500</v>
      </c>
      <c r="I44" s="65">
        <v>6000</v>
      </c>
      <c r="J44" s="65">
        <v>7500</v>
      </c>
      <c r="K44" s="65">
        <v>9000</v>
      </c>
      <c r="L44" s="65">
        <v>10500</v>
      </c>
      <c r="M44" s="65">
        <v>12000</v>
      </c>
      <c r="N44" s="65">
        <v>13500</v>
      </c>
      <c r="O44" s="65">
        <v>15000</v>
      </c>
      <c r="P44" s="65">
        <v>16500</v>
      </c>
      <c r="Q44" s="65">
        <v>18000</v>
      </c>
      <c r="R44" s="65">
        <v>19500</v>
      </c>
      <c r="S44" s="65">
        <v>21000</v>
      </c>
      <c r="T44" s="66">
        <v>22500</v>
      </c>
      <c r="U44" s="66">
        <v>24000</v>
      </c>
      <c r="V44" s="66">
        <v>25500</v>
      </c>
      <c r="W44" s="66">
        <v>27000</v>
      </c>
      <c r="X44" s="66">
        <v>28500</v>
      </c>
      <c r="Y44" s="66">
        <v>30000</v>
      </c>
      <c r="Z44" s="66">
        <v>31500</v>
      </c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257"/>
    </row>
    <row r="45" spans="1:39" ht="15.75" customHeight="1" x14ac:dyDescent="0.25">
      <c r="A45" s="306"/>
      <c r="B45" s="311"/>
      <c r="C45" s="309"/>
      <c r="D45" s="59" t="s">
        <v>117</v>
      </c>
      <c r="E45" s="62">
        <v>0</v>
      </c>
      <c r="F45" s="63">
        <v>49.7354913</v>
      </c>
      <c r="G45" s="63">
        <v>91.202228523849996</v>
      </c>
      <c r="H45" s="63">
        <v>93.953281509999997</v>
      </c>
      <c r="I45" s="63">
        <v>120.98636085</v>
      </c>
      <c r="J45" s="63">
        <v>142.60428580609999</v>
      </c>
      <c r="K45" s="63">
        <v>157.27527196899999</v>
      </c>
      <c r="L45" s="63">
        <v>170.16619921</v>
      </c>
      <c r="M45" s="63">
        <v>187.20167642000001</v>
      </c>
      <c r="N45" s="63">
        <v>198.719343116</v>
      </c>
      <c r="O45" s="63">
        <v>213.61074611699999</v>
      </c>
      <c r="P45" s="63">
        <v>228.50740736</v>
      </c>
      <c r="Q45" s="63">
        <v>252.19601094800001</v>
      </c>
      <c r="R45" s="63">
        <v>264.94099527150001</v>
      </c>
      <c r="S45" s="63">
        <v>272.12373009100003</v>
      </c>
      <c r="T45" s="70">
        <v>274.87091482170001</v>
      </c>
      <c r="U45" s="70">
        <v>274.87091482170001</v>
      </c>
      <c r="V45" s="70">
        <v>274.87091482170001</v>
      </c>
      <c r="W45" s="70">
        <v>274.87091482170001</v>
      </c>
      <c r="X45" s="70">
        <v>274.87091482170001</v>
      </c>
      <c r="Y45" s="70">
        <v>274.87091482170001</v>
      </c>
      <c r="Z45" s="70">
        <v>274.87091482170001</v>
      </c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258"/>
    </row>
    <row r="46" spans="1:39" ht="15.75" customHeight="1" x14ac:dyDescent="0.25">
      <c r="A46" s="19" t="s">
        <v>126</v>
      </c>
      <c r="B46" s="56"/>
      <c r="C46" s="56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8"/>
      <c r="AE46" s="58"/>
      <c r="AF46" s="58"/>
      <c r="AG46" s="58"/>
      <c r="AH46" s="58"/>
      <c r="AI46" s="58"/>
      <c r="AJ46" s="58"/>
      <c r="AK46" s="58"/>
      <c r="AL46" s="58"/>
      <c r="AM46" s="58"/>
    </row>
    <row r="47" spans="1:39" ht="15.75" customHeight="1" x14ac:dyDescent="0.25">
      <c r="A47" s="307" t="s">
        <v>354</v>
      </c>
      <c r="B47" s="307" t="s">
        <v>12</v>
      </c>
      <c r="C47" s="310">
        <v>3700</v>
      </c>
      <c r="D47" s="59" t="s">
        <v>116</v>
      </c>
      <c r="E47" s="65">
        <v>0</v>
      </c>
      <c r="F47" s="65">
        <v>300</v>
      </c>
      <c r="G47" s="65">
        <v>600</v>
      </c>
      <c r="H47" s="65">
        <v>900</v>
      </c>
      <c r="I47" s="65">
        <v>1200</v>
      </c>
      <c r="J47" s="65">
        <v>1500</v>
      </c>
      <c r="K47" s="65">
        <v>1800</v>
      </c>
      <c r="L47" s="65">
        <v>2100</v>
      </c>
      <c r="M47" s="65">
        <v>2400</v>
      </c>
      <c r="N47" s="65">
        <v>2700</v>
      </c>
      <c r="O47" s="65">
        <v>3000</v>
      </c>
      <c r="P47" s="65">
        <v>3300</v>
      </c>
      <c r="Q47" s="65">
        <v>3600</v>
      </c>
      <c r="R47" s="65">
        <v>3900</v>
      </c>
      <c r="S47" s="65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257"/>
    </row>
    <row r="48" spans="1:39" ht="15.75" customHeight="1" x14ac:dyDescent="0.25">
      <c r="A48" s="306"/>
      <c r="B48" s="306"/>
      <c r="C48" s="309"/>
      <c r="D48" s="59" t="s">
        <v>117</v>
      </c>
      <c r="E48" s="62">
        <v>0</v>
      </c>
      <c r="F48" s="63">
        <v>10.030610640000001</v>
      </c>
      <c r="G48" s="63">
        <v>23.764884120000001</v>
      </c>
      <c r="H48" s="63">
        <v>33.486863159999999</v>
      </c>
      <c r="I48" s="63">
        <v>39.968210399999997</v>
      </c>
      <c r="J48" s="63">
        <v>44</v>
      </c>
      <c r="K48" s="63">
        <v>44</v>
      </c>
      <c r="L48" s="63">
        <v>44</v>
      </c>
      <c r="M48" s="63">
        <v>44</v>
      </c>
      <c r="N48" s="63">
        <v>44</v>
      </c>
      <c r="O48" s="63">
        <v>44</v>
      </c>
      <c r="P48" s="63">
        <v>44</v>
      </c>
      <c r="Q48" s="63">
        <v>44</v>
      </c>
      <c r="R48" s="63">
        <v>44</v>
      </c>
      <c r="S48" s="63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258"/>
    </row>
    <row r="49" spans="1:39" ht="15.75" customHeight="1" x14ac:dyDescent="0.25">
      <c r="A49" s="307" t="s">
        <v>355</v>
      </c>
      <c r="B49" s="307" t="s">
        <v>12</v>
      </c>
      <c r="C49" s="310">
        <v>4000</v>
      </c>
      <c r="D49" s="59" t="s">
        <v>116</v>
      </c>
      <c r="E49" s="264">
        <v>0</v>
      </c>
      <c r="F49" s="264">
        <v>300</v>
      </c>
      <c r="G49" s="264">
        <v>600</v>
      </c>
      <c r="H49" s="264">
        <v>900</v>
      </c>
      <c r="I49" s="264">
        <v>1200</v>
      </c>
      <c r="J49" s="264">
        <v>1500</v>
      </c>
      <c r="K49" s="264">
        <v>1800</v>
      </c>
      <c r="L49" s="264">
        <v>2100</v>
      </c>
      <c r="M49" s="264">
        <v>2400</v>
      </c>
      <c r="N49" s="264">
        <v>2700</v>
      </c>
      <c r="O49" s="264">
        <v>3000</v>
      </c>
      <c r="P49" s="264">
        <v>3300</v>
      </c>
      <c r="Q49" s="264">
        <v>3600</v>
      </c>
      <c r="R49" s="264">
        <v>3900</v>
      </c>
      <c r="S49" s="65"/>
      <c r="T49" s="65"/>
      <c r="U49" s="65"/>
      <c r="V49" s="65"/>
      <c r="W49" s="65"/>
      <c r="X49" s="65"/>
      <c r="Y49" s="65"/>
      <c r="Z49" s="65"/>
      <c r="AA49" s="265"/>
      <c r="AB49" s="66"/>
      <c r="AC49" s="66"/>
      <c r="AD49" s="66"/>
      <c r="AE49" s="66"/>
      <c r="AF49" s="66"/>
      <c r="AG49" s="66"/>
      <c r="AH49" s="266"/>
      <c r="AI49" s="66"/>
      <c r="AJ49" s="66"/>
      <c r="AK49" s="66"/>
      <c r="AL49" s="66"/>
      <c r="AM49" s="257"/>
    </row>
    <row r="50" spans="1:39" ht="15.75" customHeight="1" x14ac:dyDescent="0.25">
      <c r="A50" s="306"/>
      <c r="B50" s="306"/>
      <c r="C50" s="309"/>
      <c r="D50" s="59" t="s">
        <v>117</v>
      </c>
      <c r="E50" s="267">
        <v>0</v>
      </c>
      <c r="F50" s="268">
        <v>17.2759</v>
      </c>
      <c r="G50" s="268">
        <v>31.657699999999998</v>
      </c>
      <c r="H50" s="268">
        <v>41.206899999999997</v>
      </c>
      <c r="I50" s="268">
        <v>48.093000000000004</v>
      </c>
      <c r="J50" s="267">
        <v>51.438600000000001</v>
      </c>
      <c r="K50" s="267">
        <v>52.2</v>
      </c>
      <c r="L50" s="267">
        <v>52.2</v>
      </c>
      <c r="M50" s="267">
        <v>52.2</v>
      </c>
      <c r="N50" s="267">
        <v>52.2</v>
      </c>
      <c r="O50" s="267">
        <v>52.2</v>
      </c>
      <c r="P50" s="267">
        <v>52.2</v>
      </c>
      <c r="Q50" s="267">
        <v>52.2</v>
      </c>
      <c r="R50" s="267">
        <v>52.2</v>
      </c>
      <c r="S50" s="62"/>
      <c r="T50" s="62"/>
      <c r="U50" s="62"/>
      <c r="V50" s="62"/>
      <c r="W50" s="62"/>
      <c r="X50" s="62"/>
      <c r="Y50" s="62"/>
      <c r="Z50" s="62"/>
      <c r="AA50" s="269"/>
      <c r="AB50" s="70"/>
      <c r="AC50" s="70"/>
      <c r="AD50" s="70"/>
      <c r="AE50" s="70"/>
      <c r="AF50" s="70"/>
      <c r="AG50" s="70"/>
      <c r="AH50" s="233"/>
      <c r="AI50" s="70"/>
      <c r="AJ50" s="70"/>
      <c r="AK50" s="70"/>
      <c r="AL50" s="70"/>
      <c r="AM50" s="258"/>
    </row>
    <row r="51" spans="1:39" ht="15.75" customHeight="1" x14ac:dyDescent="0.25"/>
    <row r="52" spans="1:39" ht="15.75" customHeight="1" x14ac:dyDescent="0.25">
      <c r="A52" s="255" t="s">
        <v>356</v>
      </c>
    </row>
    <row r="53" spans="1:39" ht="15.75" customHeight="1" x14ac:dyDescent="0.25">
      <c r="A53" s="48" t="s">
        <v>111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256"/>
    </row>
    <row r="54" spans="1:39" ht="15.75" customHeight="1" x14ac:dyDescent="0.25">
      <c r="A54" s="50" t="s">
        <v>0</v>
      </c>
      <c r="B54" s="51" t="s">
        <v>112</v>
      </c>
      <c r="C54" s="52" t="s">
        <v>113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3"/>
      <c r="V54" s="53"/>
      <c r="W54" s="53"/>
      <c r="X54" s="53"/>
      <c r="Y54" s="53"/>
      <c r="Z54" s="53"/>
      <c r="AA54" s="54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</row>
    <row r="55" spans="1:39" ht="15.75" customHeight="1" x14ac:dyDescent="0.25">
      <c r="A55" s="19" t="s">
        <v>114</v>
      </c>
      <c r="B55" s="55"/>
      <c r="C55" s="56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</row>
    <row r="56" spans="1:39" ht="15.75" customHeight="1" x14ac:dyDescent="0.25">
      <c r="A56" s="334" t="s">
        <v>357</v>
      </c>
      <c r="B56" s="307" t="s">
        <v>12</v>
      </c>
      <c r="C56" s="310">
        <f>+E56</f>
        <v>299.97278596475797</v>
      </c>
      <c r="D56" s="59" t="s">
        <v>116</v>
      </c>
      <c r="E56" s="60">
        <v>299.97278596475797</v>
      </c>
      <c r="F56" s="60">
        <v>33.780717713939303</v>
      </c>
      <c r="G56" s="60">
        <v>31.454626524051299</v>
      </c>
      <c r="H56" s="60">
        <v>29.3524384607773</v>
      </c>
      <c r="I56" s="60">
        <v>25.459958598982301</v>
      </c>
      <c r="J56" s="60">
        <v>23.739852670729199</v>
      </c>
      <c r="K56" s="60">
        <v>22.172939953328601</v>
      </c>
      <c r="L56" s="60">
        <v>19.333152577475602</v>
      </c>
      <c r="M56" s="60">
        <v>15.6262716349237</v>
      </c>
      <c r="N56" s="60">
        <v>11.630419951123599</v>
      </c>
      <c r="O56" s="60">
        <v>9.3059991055236004</v>
      </c>
      <c r="P56" s="65">
        <v>6.1009192285335399</v>
      </c>
      <c r="Q56" s="65">
        <v>3.4131897440335601</v>
      </c>
      <c r="R56" s="65">
        <v>0</v>
      </c>
      <c r="S56" s="65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257"/>
    </row>
    <row r="57" spans="1:39" ht="15.75" customHeight="1" x14ac:dyDescent="0.25">
      <c r="A57" s="335"/>
      <c r="B57" s="306"/>
      <c r="C57" s="309"/>
      <c r="D57" s="59" t="s">
        <v>117</v>
      </c>
      <c r="E57" s="62">
        <v>2.5707528434009999</v>
      </c>
      <c r="F57" s="63">
        <v>2.5707528434009999</v>
      </c>
      <c r="G57" s="63">
        <v>2.3260911898879999</v>
      </c>
      <c r="H57" s="63">
        <v>2.1021880632740002</v>
      </c>
      <c r="I57" s="63">
        <v>1.865331935156</v>
      </c>
      <c r="J57" s="63">
        <v>1.720105928253</v>
      </c>
      <c r="K57" s="63">
        <v>1.5669127174005999</v>
      </c>
      <c r="L57" s="63">
        <v>1.4070129547629999</v>
      </c>
      <c r="M57" s="63">
        <v>1.151654449</v>
      </c>
      <c r="N57" s="63">
        <v>0.92370272580000001</v>
      </c>
      <c r="O57" s="63">
        <v>0.70312878690000002</v>
      </c>
      <c r="P57" s="63">
        <v>0.44438181011</v>
      </c>
      <c r="Q57" s="63">
        <v>0.26499963234000001</v>
      </c>
      <c r="R57" s="63">
        <v>0</v>
      </c>
      <c r="S57" s="63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258"/>
    </row>
    <row r="58" spans="1:39" ht="15.75" customHeight="1" x14ac:dyDescent="0.25">
      <c r="A58" s="334" t="s">
        <v>358</v>
      </c>
      <c r="B58" s="307" t="s">
        <v>12</v>
      </c>
      <c r="C58" s="310">
        <f>+I58</f>
        <v>304.471539948898</v>
      </c>
      <c r="D58" s="59" t="s">
        <v>116</v>
      </c>
      <c r="E58" s="66">
        <v>850</v>
      </c>
      <c r="F58" s="66">
        <v>800</v>
      </c>
      <c r="G58" s="66">
        <v>750</v>
      </c>
      <c r="H58" s="65">
        <v>700</v>
      </c>
      <c r="I58" s="14">
        <v>304.471539948898</v>
      </c>
      <c r="J58" s="14">
        <v>41.663899925669099</v>
      </c>
      <c r="K58" s="14">
        <v>39.292783653921099</v>
      </c>
      <c r="L58" s="14">
        <v>37.155509890187098</v>
      </c>
      <c r="M58" s="14">
        <v>35.174045801338103</v>
      </c>
      <c r="N58" s="14">
        <v>33.402361046482099</v>
      </c>
      <c r="O58" s="14">
        <v>27.532155917338599</v>
      </c>
      <c r="P58" s="14">
        <v>21.807089072338599</v>
      </c>
      <c r="Q58" s="14">
        <v>18.241134616338599</v>
      </c>
      <c r="R58" s="14">
        <v>12.313181216438601</v>
      </c>
      <c r="S58" s="14">
        <v>9.0488164204385804</v>
      </c>
      <c r="T58" s="14">
        <v>5.64950519873861</v>
      </c>
      <c r="U58" s="14">
        <v>2.08529517466854</v>
      </c>
      <c r="V58" s="14">
        <v>0</v>
      </c>
      <c r="AA58" s="61"/>
      <c r="AB58" s="60"/>
      <c r="AC58" s="60"/>
      <c r="AD58" s="60"/>
      <c r="AE58" s="60"/>
      <c r="AF58" s="60"/>
      <c r="AG58" s="60"/>
      <c r="AH58" s="61"/>
      <c r="AI58" s="259"/>
      <c r="AJ58" s="259"/>
      <c r="AK58" s="259"/>
      <c r="AL58" s="259"/>
      <c r="AM58" s="260"/>
    </row>
    <row r="59" spans="1:39" ht="15.75" customHeight="1" x14ac:dyDescent="0.25">
      <c r="A59" s="335"/>
      <c r="B59" s="306"/>
      <c r="C59" s="309"/>
      <c r="D59" s="59" t="s">
        <v>117</v>
      </c>
      <c r="E59" s="70">
        <v>14.975095911</v>
      </c>
      <c r="F59" s="70">
        <v>14.788252941818</v>
      </c>
      <c r="G59" s="70">
        <v>12.861802085760001</v>
      </c>
      <c r="H59" s="63">
        <v>8.8841032915200007</v>
      </c>
      <c r="I59" s="14">
        <v>2.6202499533610002</v>
      </c>
      <c r="J59" s="14">
        <v>2.6202499533610002</v>
      </c>
      <c r="K59" s="14">
        <v>2.3711162717479999</v>
      </c>
      <c r="L59" s="14">
        <v>2.137273763734</v>
      </c>
      <c r="M59" s="14">
        <v>1.981464088849</v>
      </c>
      <c r="N59" s="14">
        <v>1.771684754856</v>
      </c>
      <c r="O59" s="14">
        <v>1.54298392</v>
      </c>
      <c r="P59" s="14">
        <v>1.3446235820000001</v>
      </c>
      <c r="Q59" s="14">
        <v>1.1273841739999999</v>
      </c>
      <c r="R59" s="14">
        <v>0.91883595419999997</v>
      </c>
      <c r="S59" s="14">
        <v>0.72260950759999998</v>
      </c>
      <c r="T59" s="14">
        <v>0.47612216909999999</v>
      </c>
      <c r="U59" s="14">
        <v>0.21505211383</v>
      </c>
      <c r="V59" s="14">
        <v>0</v>
      </c>
      <c r="AA59" s="64"/>
      <c r="AB59" s="63"/>
      <c r="AC59" s="63"/>
      <c r="AD59" s="63"/>
      <c r="AE59" s="63"/>
      <c r="AF59" s="63"/>
      <c r="AG59" s="63"/>
      <c r="AH59" s="64"/>
      <c r="AI59" s="70"/>
      <c r="AJ59" s="70"/>
      <c r="AK59" s="70"/>
      <c r="AL59" s="70"/>
      <c r="AM59" s="258"/>
    </row>
    <row r="60" spans="1:39" ht="15.75" customHeight="1" x14ac:dyDescent="0.25">
      <c r="A60" s="334" t="s">
        <v>359</v>
      </c>
      <c r="B60" s="307" t="s">
        <v>12</v>
      </c>
      <c r="C60" s="310">
        <f>+K60</f>
        <v>411.48014529125697</v>
      </c>
      <c r="D60" s="59" t="s">
        <v>116</v>
      </c>
      <c r="E60" s="66">
        <v>850</v>
      </c>
      <c r="F60" s="66">
        <v>800</v>
      </c>
      <c r="G60" s="66">
        <v>750</v>
      </c>
      <c r="H60" s="65">
        <v>700</v>
      </c>
      <c r="I60" s="60">
        <v>650</v>
      </c>
      <c r="J60" s="60">
        <v>600</v>
      </c>
      <c r="K60" s="60">
        <v>411.48014529125697</v>
      </c>
      <c r="L60" s="60">
        <v>99.192745526271395</v>
      </c>
      <c r="M60" s="60">
        <v>79.2162967354204</v>
      </c>
      <c r="N60" s="60">
        <v>64.857834369938502</v>
      </c>
      <c r="O60" s="60">
        <v>49.148073406878403</v>
      </c>
      <c r="P60" s="60">
        <v>37.826615359104402</v>
      </c>
      <c r="Q60" s="60">
        <v>30.897628215612801</v>
      </c>
      <c r="R60" s="60">
        <v>21.648310075412098</v>
      </c>
      <c r="S60" s="60">
        <v>14.5622742194801</v>
      </c>
      <c r="T60" s="60">
        <v>9.2459574542550609</v>
      </c>
      <c r="U60" s="60">
        <v>5.15514871123509</v>
      </c>
      <c r="V60" s="60">
        <v>0</v>
      </c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261"/>
    </row>
    <row r="61" spans="1:39" ht="15.75" customHeight="1" x14ac:dyDescent="0.25">
      <c r="A61" s="335"/>
      <c r="B61" s="306"/>
      <c r="C61" s="309"/>
      <c r="D61" s="59" t="s">
        <v>117</v>
      </c>
      <c r="E61" s="70">
        <v>14.975095911</v>
      </c>
      <c r="F61" s="70">
        <v>14.788252941818</v>
      </c>
      <c r="G61" s="70">
        <v>12.861802085760001</v>
      </c>
      <c r="H61" s="63">
        <v>8.8841032915200007</v>
      </c>
      <c r="I61" s="63">
        <v>8.2334972453847008</v>
      </c>
      <c r="J61" s="63">
        <v>8.2334972453847008</v>
      </c>
      <c r="K61" s="62">
        <v>4.197925029286</v>
      </c>
      <c r="L61" s="63">
        <v>4.197925029286</v>
      </c>
      <c r="M61" s="63">
        <v>3.8620414146819999</v>
      </c>
      <c r="N61" s="63">
        <v>3.4175003618800002</v>
      </c>
      <c r="O61" s="63">
        <v>3.1385382426590001</v>
      </c>
      <c r="P61" s="63">
        <v>2.6056161295971001</v>
      </c>
      <c r="Q61" s="63">
        <v>2.1692495826160001</v>
      </c>
      <c r="R61" s="63">
        <v>1.6439298393190001</v>
      </c>
      <c r="S61" s="63">
        <v>1.263405425612</v>
      </c>
      <c r="T61" s="63">
        <v>0.93928340711000002</v>
      </c>
      <c r="U61" s="63">
        <v>0.53020003281000005</v>
      </c>
      <c r="V61" s="63">
        <v>0</v>
      </c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262"/>
    </row>
    <row r="62" spans="1:39" ht="15.75" customHeight="1" x14ac:dyDescent="0.25">
      <c r="A62" s="334" t="s">
        <v>360</v>
      </c>
      <c r="B62" s="307" t="s">
        <v>12</v>
      </c>
      <c r="C62" s="310">
        <f>+E62</f>
        <v>14.1809996187</v>
      </c>
      <c r="D62" s="59" t="s">
        <v>116</v>
      </c>
      <c r="E62" s="270">
        <v>14.1809996187</v>
      </c>
      <c r="F62" s="65">
        <v>4.3261669423000004</v>
      </c>
      <c r="G62" s="65">
        <v>4.0395848423</v>
      </c>
      <c r="H62" s="65">
        <v>3.4908769123000001</v>
      </c>
      <c r="I62" s="65">
        <v>2.9684702816000001</v>
      </c>
      <c r="J62" s="65">
        <v>2.1971102955999999</v>
      </c>
      <c r="K62" s="65">
        <v>1.4616395216</v>
      </c>
      <c r="L62" s="65">
        <v>1.0050782408000001</v>
      </c>
      <c r="M62" s="65">
        <v>0.80043345959999901</v>
      </c>
      <c r="N62" s="65">
        <v>0.62076114419999895</v>
      </c>
      <c r="O62" s="65">
        <v>0.47053202489999901</v>
      </c>
      <c r="P62" s="65">
        <v>0.34945661489999902</v>
      </c>
      <c r="Q62" s="65">
        <v>0.24946390089999901</v>
      </c>
      <c r="R62" s="65">
        <v>0.16830312789999799</v>
      </c>
      <c r="S62" s="65">
        <v>0.106971823899999</v>
      </c>
      <c r="T62" s="65">
        <v>3.3952255899999201E-2</v>
      </c>
      <c r="U62" s="65">
        <v>0</v>
      </c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6"/>
      <c r="AG62" s="66"/>
      <c r="AH62" s="66"/>
      <c r="AI62" s="66"/>
      <c r="AJ62" s="66"/>
      <c r="AK62" s="66"/>
      <c r="AL62" s="66"/>
      <c r="AM62" s="257"/>
    </row>
    <row r="63" spans="1:39" ht="15.75" customHeight="1" x14ac:dyDescent="0.25">
      <c r="A63" s="335"/>
      <c r="B63" s="306"/>
      <c r="C63" s="309"/>
      <c r="D63" s="59" t="s">
        <v>117</v>
      </c>
      <c r="E63" s="271">
        <v>0.28967938599999998</v>
      </c>
      <c r="F63" s="63">
        <v>0.28967938599999998</v>
      </c>
      <c r="G63" s="63">
        <v>0.28658210000000001</v>
      </c>
      <c r="H63" s="63">
        <v>0.26895670300000002</v>
      </c>
      <c r="I63" s="63">
        <v>0.260392507</v>
      </c>
      <c r="J63" s="63">
        <v>0.25496361000000001</v>
      </c>
      <c r="K63" s="63">
        <v>0.23990248659999999</v>
      </c>
      <c r="L63" s="63">
        <v>0.22302366179999999</v>
      </c>
      <c r="M63" s="63">
        <v>0.20464478119999999</v>
      </c>
      <c r="N63" s="63">
        <v>0.1796723154</v>
      </c>
      <c r="O63" s="63">
        <v>0.15022911929999999</v>
      </c>
      <c r="P63" s="63">
        <v>0.12107540999999999</v>
      </c>
      <c r="Q63" s="63">
        <v>9.9992713999999996E-2</v>
      </c>
      <c r="R63" s="63">
        <v>8.1160773000000005E-2</v>
      </c>
      <c r="S63" s="63">
        <v>6.1331304000000003E-2</v>
      </c>
      <c r="T63" s="63">
        <v>2.8279366E-2</v>
      </c>
      <c r="U63" s="63">
        <v>0</v>
      </c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9"/>
      <c r="AG63" s="69"/>
      <c r="AH63" s="69"/>
      <c r="AI63" s="69"/>
      <c r="AJ63" s="69"/>
      <c r="AK63" s="69"/>
      <c r="AL63" s="69"/>
      <c r="AM63" s="263"/>
    </row>
    <row r="64" spans="1:39" ht="15.75" customHeight="1" x14ac:dyDescent="0.25">
      <c r="A64" s="334" t="s">
        <v>361</v>
      </c>
      <c r="B64" s="307" t="s">
        <v>12</v>
      </c>
      <c r="C64" s="310">
        <f>+E64</f>
        <v>77.5139928551</v>
      </c>
      <c r="D64" s="130" t="s">
        <v>116</v>
      </c>
      <c r="E64" s="14">
        <v>77.5139928551</v>
      </c>
      <c r="F64" s="14">
        <v>38.3264825157</v>
      </c>
      <c r="G64" s="14">
        <v>33.196410815699998</v>
      </c>
      <c r="H64" s="14">
        <v>28.2582090157</v>
      </c>
      <c r="I64" s="14">
        <v>23.689092215700001</v>
      </c>
      <c r="J64" s="14">
        <v>19.604343185699999</v>
      </c>
      <c r="K64" s="14">
        <v>16.0345169657</v>
      </c>
      <c r="L64" s="14">
        <v>12.9496076157</v>
      </c>
      <c r="M64" s="14">
        <v>10.2467552957</v>
      </c>
      <c r="N64" s="14">
        <v>7.9037323256999903</v>
      </c>
      <c r="O64" s="14">
        <v>5.9569962616999996</v>
      </c>
      <c r="P64" s="14">
        <v>4.4042328447000001</v>
      </c>
      <c r="Q64" s="14">
        <v>3.2227449017000001</v>
      </c>
      <c r="R64" s="14">
        <v>1.9837517516999801</v>
      </c>
      <c r="S64" s="65">
        <v>3.3952255899999201E-2</v>
      </c>
      <c r="T64" s="65">
        <v>0</v>
      </c>
      <c r="V64" s="65"/>
      <c r="W64" s="65"/>
      <c r="X64" s="65"/>
      <c r="Y64" s="65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257"/>
    </row>
    <row r="65" spans="1:39" ht="15.75" customHeight="1" x14ac:dyDescent="0.25">
      <c r="A65" s="335"/>
      <c r="B65" s="306"/>
      <c r="C65" s="309"/>
      <c r="D65" s="130" t="s">
        <v>117</v>
      </c>
      <c r="E65" s="14">
        <v>2.6036583000000002</v>
      </c>
      <c r="F65" s="14">
        <v>2.6036583000000002</v>
      </c>
      <c r="G65" s="14">
        <v>2.5509563000000002</v>
      </c>
      <c r="H65" s="14">
        <v>2.4345667999999998</v>
      </c>
      <c r="I65" s="14">
        <v>2.2309039300000002</v>
      </c>
      <c r="J65" s="14">
        <v>1.97989792</v>
      </c>
      <c r="K65" s="14">
        <v>1.72180278</v>
      </c>
      <c r="L65" s="14">
        <v>1.4843633300000001</v>
      </c>
      <c r="M65" s="14">
        <v>1.3081163499999999</v>
      </c>
      <c r="N65" s="14">
        <v>1.12598014</v>
      </c>
      <c r="O65" s="14">
        <v>0.92357062400000001</v>
      </c>
      <c r="P65" s="14">
        <v>0.72768022099999996</v>
      </c>
      <c r="Q65" s="14">
        <v>0.54806966999999995</v>
      </c>
      <c r="R65" s="14">
        <v>0.35430331399999998</v>
      </c>
      <c r="S65" s="63">
        <v>2.8279366E-2</v>
      </c>
      <c r="T65" s="63">
        <v>0</v>
      </c>
      <c r="V65" s="63"/>
      <c r="W65" s="63"/>
      <c r="X65" s="63"/>
      <c r="Y65" s="63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258"/>
    </row>
    <row r="66" spans="1:39" ht="15.75" customHeight="1" x14ac:dyDescent="0.25">
      <c r="A66" s="334" t="s">
        <v>362</v>
      </c>
      <c r="B66" s="307" t="s">
        <v>12</v>
      </c>
      <c r="C66" s="310">
        <f>+E66</f>
        <v>103.654610475</v>
      </c>
      <c r="D66" s="59" t="s">
        <v>116</v>
      </c>
      <c r="E66" s="60">
        <v>103.654610475</v>
      </c>
      <c r="F66" s="60">
        <v>71.669080474999902</v>
      </c>
      <c r="G66" s="60">
        <v>56.468140474999899</v>
      </c>
      <c r="H66" s="60">
        <v>49.318050475</v>
      </c>
      <c r="I66" s="60">
        <v>42.661000474999902</v>
      </c>
      <c r="J66" s="60">
        <v>36.647840474999903</v>
      </c>
      <c r="K66" s="60">
        <v>31.3284704749999</v>
      </c>
      <c r="L66" s="60">
        <v>26.695350474999898</v>
      </c>
      <c r="M66" s="60">
        <v>22.713270474999899</v>
      </c>
      <c r="N66" s="60">
        <v>19.3007804749999</v>
      </c>
      <c r="O66" s="60">
        <v>16.379040474999901</v>
      </c>
      <c r="P66" s="60">
        <v>11.5643004749999</v>
      </c>
      <c r="Q66" s="60">
        <v>4.6199804749999203</v>
      </c>
      <c r="R66" s="60">
        <v>0.91810647499994502</v>
      </c>
      <c r="S66" s="60">
        <v>0</v>
      </c>
      <c r="T66" s="60"/>
      <c r="U66" s="60"/>
      <c r="V66" s="60"/>
      <c r="W66" s="60"/>
      <c r="X66" s="60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60"/>
    </row>
    <row r="67" spans="1:39" ht="15.75" customHeight="1" x14ac:dyDescent="0.25">
      <c r="A67" s="335"/>
      <c r="B67" s="306"/>
      <c r="C67" s="309"/>
      <c r="D67" s="59" t="s">
        <v>117</v>
      </c>
      <c r="E67" s="62">
        <v>8.1950199999999995</v>
      </c>
      <c r="F67" s="63">
        <v>7.8396800000000004</v>
      </c>
      <c r="G67" s="63">
        <v>7.4952800000000002</v>
      </c>
      <c r="H67" s="63">
        <v>7.1500899999999996</v>
      </c>
      <c r="I67" s="63">
        <v>6.6570499999999999</v>
      </c>
      <c r="J67" s="63">
        <v>6.0131600000000001</v>
      </c>
      <c r="K67" s="63">
        <v>5.3193700000000002</v>
      </c>
      <c r="L67" s="63">
        <v>4.6331199999999999</v>
      </c>
      <c r="M67" s="63">
        <v>3.9820799999999998</v>
      </c>
      <c r="N67" s="63">
        <v>3.41249</v>
      </c>
      <c r="O67" s="63">
        <v>2.9217399999999998</v>
      </c>
      <c r="P67" s="63">
        <v>2.2663700000000002</v>
      </c>
      <c r="Q67" s="63">
        <v>1.4246399999999999</v>
      </c>
      <c r="R67" s="63">
        <v>0.63766400000000001</v>
      </c>
      <c r="S67" s="68">
        <v>0</v>
      </c>
      <c r="T67" s="68"/>
      <c r="U67" s="68"/>
      <c r="V67" s="68"/>
      <c r="W67" s="68"/>
      <c r="X67" s="68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263"/>
    </row>
    <row r="68" spans="1:39" ht="15.75" customHeight="1" x14ac:dyDescent="0.25">
      <c r="A68" s="336" t="s">
        <v>12</v>
      </c>
      <c r="B68" s="313">
        <f>+E68</f>
        <v>0</v>
      </c>
      <c r="C68" s="310">
        <v>0</v>
      </c>
      <c r="D68" s="59" t="s">
        <v>116</v>
      </c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5"/>
      <c r="Q68" s="65"/>
      <c r="R68" s="65"/>
      <c r="S68" s="65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257"/>
    </row>
    <row r="69" spans="1:39" ht="15.75" customHeight="1" x14ac:dyDescent="0.25">
      <c r="A69" s="306"/>
      <c r="B69" s="309"/>
      <c r="C69" s="309"/>
      <c r="D69" s="59" t="s">
        <v>117</v>
      </c>
      <c r="E69" s="62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258"/>
    </row>
    <row r="70" spans="1:39" ht="15.75" customHeight="1" x14ac:dyDescent="0.25">
      <c r="A70" s="19" t="s">
        <v>120</v>
      </c>
      <c r="B70" s="56"/>
      <c r="C70" s="56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</row>
    <row r="71" spans="1:39" ht="15.75" customHeight="1" x14ac:dyDescent="0.25">
      <c r="A71" s="334" t="s">
        <v>363</v>
      </c>
      <c r="B71" s="307" t="s">
        <v>12</v>
      </c>
      <c r="C71" s="310">
        <f>+E71</f>
        <v>542.01797255752001</v>
      </c>
      <c r="D71" s="59" t="s">
        <v>116</v>
      </c>
      <c r="E71" s="60">
        <v>542.01797255752001</v>
      </c>
      <c r="F71" s="60">
        <v>172.58224843867001</v>
      </c>
      <c r="G71" s="60">
        <v>166.92652673706999</v>
      </c>
      <c r="H71" s="60">
        <v>121.92657301747001</v>
      </c>
      <c r="I71" s="60">
        <v>111.52658232287</v>
      </c>
      <c r="J71" s="60">
        <v>96.209227643170294</v>
      </c>
      <c r="K71" s="60">
        <v>86.511340974370299</v>
      </c>
      <c r="L71" s="60">
        <v>77.488142014670302</v>
      </c>
      <c r="M71" s="60">
        <v>65.143257960170303</v>
      </c>
      <c r="N71" s="60">
        <v>57.6034893071703</v>
      </c>
      <c r="O71" s="65">
        <v>47.445789138870303</v>
      </c>
      <c r="P71" s="65">
        <v>35.663547905770301</v>
      </c>
      <c r="Q71" s="65">
        <v>25.769540556200202</v>
      </c>
      <c r="R71" s="65">
        <v>18.062898061880201</v>
      </c>
      <c r="S71" s="65">
        <v>12.4886426222303</v>
      </c>
      <c r="T71" s="65">
        <v>6.43826045583012</v>
      </c>
      <c r="U71" s="65">
        <v>0</v>
      </c>
      <c r="V71" s="65"/>
      <c r="W71" s="65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257"/>
    </row>
    <row r="72" spans="1:39" ht="15.75" customHeight="1" x14ac:dyDescent="0.25">
      <c r="A72" s="335"/>
      <c r="B72" s="306"/>
      <c r="C72" s="309"/>
      <c r="D72" s="59" t="s">
        <v>117</v>
      </c>
      <c r="E72" s="62">
        <v>5.8216207649999996</v>
      </c>
      <c r="F72" s="63">
        <v>5.8216207649999996</v>
      </c>
      <c r="G72" s="63">
        <v>5.6557217016000001</v>
      </c>
      <c r="H72" s="63">
        <v>5.4021667354999998</v>
      </c>
      <c r="I72" s="63">
        <v>5.1984790242000001</v>
      </c>
      <c r="J72" s="63">
        <v>5.0146905991999997</v>
      </c>
      <c r="K72" s="63">
        <v>4.7778094597000003</v>
      </c>
      <c r="L72" s="63">
        <v>4.4376427982999997</v>
      </c>
      <c r="M72" s="63">
        <v>3.9701602566999998</v>
      </c>
      <c r="N72" s="63">
        <v>3.6908563706000002</v>
      </c>
      <c r="O72" s="68">
        <v>3.2386885407000001</v>
      </c>
      <c r="P72" s="68">
        <v>2.78575117281</v>
      </c>
      <c r="Q72" s="68">
        <v>2.2835402954599999</v>
      </c>
      <c r="R72" s="68">
        <v>1.71536613184</v>
      </c>
      <c r="S72" s="68">
        <v>1.2187622292</v>
      </c>
      <c r="T72" s="68">
        <v>0.64773519400000001</v>
      </c>
      <c r="U72" s="68">
        <v>0</v>
      </c>
      <c r="V72" s="68"/>
      <c r="W72" s="68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258"/>
    </row>
    <row r="73" spans="1:39" ht="15.75" customHeight="1" x14ac:dyDescent="0.25">
      <c r="A73" s="334" t="s">
        <v>364</v>
      </c>
      <c r="B73" s="307" t="s">
        <v>12</v>
      </c>
      <c r="C73" s="310">
        <f>+G73</f>
        <v>538.005973433431</v>
      </c>
      <c r="D73" s="59" t="s">
        <v>116</v>
      </c>
      <c r="E73" s="65">
        <v>900</v>
      </c>
      <c r="F73" s="65">
        <v>850</v>
      </c>
      <c r="G73" s="60">
        <v>538.005973433431</v>
      </c>
      <c r="H73" s="60">
        <v>170.79653273858099</v>
      </c>
      <c r="I73" s="60">
        <v>159.81188241558101</v>
      </c>
      <c r="J73" s="60">
        <v>131.975308313581</v>
      </c>
      <c r="K73" s="60">
        <v>116.92660605658099</v>
      </c>
      <c r="L73" s="60">
        <v>97.789337472580698</v>
      </c>
      <c r="M73" s="60">
        <v>84.382392569580702</v>
      </c>
      <c r="N73" s="60">
        <v>71.926790971680703</v>
      </c>
      <c r="O73" s="60">
        <v>60.515755761980699</v>
      </c>
      <c r="P73" s="60">
        <v>53.7247354850807</v>
      </c>
      <c r="Q73" s="65">
        <v>44.632749691880697</v>
      </c>
      <c r="R73" s="65">
        <v>36.949823642680698</v>
      </c>
      <c r="S73" s="65">
        <v>26.0523152934907</v>
      </c>
      <c r="T73" s="65">
        <v>17.2697005693507</v>
      </c>
      <c r="U73" s="65">
        <v>10.9890722733705</v>
      </c>
      <c r="V73" s="65">
        <v>5.69167603098958</v>
      </c>
      <c r="W73" s="65">
        <v>0</v>
      </c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257"/>
    </row>
    <row r="74" spans="1:39" ht="15.75" customHeight="1" x14ac:dyDescent="0.25">
      <c r="A74" s="335"/>
      <c r="B74" s="306"/>
      <c r="C74" s="309"/>
      <c r="D74" s="59" t="s">
        <v>117</v>
      </c>
      <c r="E74" s="68">
        <v>11.5847422981</v>
      </c>
      <c r="F74" s="68">
        <v>11.5847422981</v>
      </c>
      <c r="G74" s="62">
        <v>5.7895567960000003</v>
      </c>
      <c r="H74" s="63">
        <v>5.7895567960000003</v>
      </c>
      <c r="I74" s="63">
        <v>5.3579205869999997</v>
      </c>
      <c r="J74" s="63">
        <v>5.0510300060000004</v>
      </c>
      <c r="K74" s="63">
        <v>4.9296657030000004</v>
      </c>
      <c r="L74" s="63">
        <v>4.6400113879999996</v>
      </c>
      <c r="M74" s="63">
        <v>4.3651814570000003</v>
      </c>
      <c r="N74" s="63">
        <v>4.0651877904999996</v>
      </c>
      <c r="O74" s="63">
        <v>3.6379274801000001</v>
      </c>
      <c r="P74" s="63">
        <v>3.3253526698</v>
      </c>
      <c r="Q74" s="68">
        <v>2.8796171625999998</v>
      </c>
      <c r="R74" s="68">
        <v>2.4296524305</v>
      </c>
      <c r="S74" s="68">
        <v>2.0286745763699998</v>
      </c>
      <c r="T74" s="68">
        <v>1.5655057493</v>
      </c>
      <c r="U74" s="68">
        <v>1.06188282356</v>
      </c>
      <c r="V74" s="68">
        <v>0.56374371850000005</v>
      </c>
      <c r="W74" s="68">
        <v>0</v>
      </c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258"/>
    </row>
    <row r="75" spans="1:39" ht="15.75" customHeight="1" x14ac:dyDescent="0.25">
      <c r="A75" s="334" t="s">
        <v>365</v>
      </c>
      <c r="B75" s="307" t="s">
        <v>12</v>
      </c>
      <c r="C75" s="310">
        <f>+H75</f>
        <v>540.81199952922702</v>
      </c>
      <c r="D75" s="59" t="s">
        <v>116</v>
      </c>
      <c r="E75" s="65">
        <v>900</v>
      </c>
      <c r="F75" s="65">
        <v>850</v>
      </c>
      <c r="G75" s="65">
        <v>800</v>
      </c>
      <c r="H75" s="60">
        <v>540.81199952922702</v>
      </c>
      <c r="I75" s="60">
        <v>128.64494030677699</v>
      </c>
      <c r="J75" s="60">
        <v>111.317624288777</v>
      </c>
      <c r="K75" s="60">
        <v>95.218734508076494</v>
      </c>
      <c r="L75" s="60">
        <v>85.430654807776506</v>
      </c>
      <c r="M75" s="60">
        <v>76.461958322676495</v>
      </c>
      <c r="N75" s="60">
        <v>68.316666726876505</v>
      </c>
      <c r="O75" s="60">
        <v>57.485292814976397</v>
      </c>
      <c r="P75" s="60">
        <v>48.114099772776498</v>
      </c>
      <c r="Q75" s="60">
        <v>39.913301827006499</v>
      </c>
      <c r="R75" s="65">
        <v>32.9240405381165</v>
      </c>
      <c r="S75" s="65">
        <v>25.4527325801965</v>
      </c>
      <c r="T75" s="65">
        <v>18.3586239984967</v>
      </c>
      <c r="U75" s="65">
        <v>12.2310885595048</v>
      </c>
      <c r="V75" s="65">
        <v>8.0290983900498496</v>
      </c>
      <c r="W75" s="65">
        <v>0</v>
      </c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257"/>
    </row>
    <row r="76" spans="1:39" ht="15.75" customHeight="1" x14ac:dyDescent="0.25">
      <c r="A76" s="335"/>
      <c r="B76" s="306"/>
      <c r="C76" s="309"/>
      <c r="D76" s="59" t="s">
        <v>117</v>
      </c>
      <c r="E76" s="68">
        <v>11.6695650981</v>
      </c>
      <c r="F76" s="68">
        <v>11.6695650981</v>
      </c>
      <c r="G76" s="68">
        <v>11.6695650981</v>
      </c>
      <c r="H76" s="62">
        <v>5.8716644283999999</v>
      </c>
      <c r="I76" s="63">
        <v>5.8716644283999999</v>
      </c>
      <c r="J76" s="63">
        <v>5.6466347003999999</v>
      </c>
      <c r="K76" s="63">
        <v>5.1849761726999999</v>
      </c>
      <c r="L76" s="63">
        <v>4.7990577491000002</v>
      </c>
      <c r="M76" s="63">
        <v>4.3674099593999998</v>
      </c>
      <c r="N76" s="63">
        <v>3.9634725505000001</v>
      </c>
      <c r="O76" s="63">
        <v>3.4257201385</v>
      </c>
      <c r="P76" s="63">
        <v>3.0010676185</v>
      </c>
      <c r="Q76" s="63">
        <v>2.6255270038699998</v>
      </c>
      <c r="R76" s="68">
        <v>2.1856738774600002</v>
      </c>
      <c r="S76" s="68">
        <v>1.6961597184699999</v>
      </c>
      <c r="T76" s="68">
        <v>1.2621491846299999</v>
      </c>
      <c r="U76" s="68">
        <v>0.90111356723000002</v>
      </c>
      <c r="V76" s="68">
        <v>0.56353013758299997</v>
      </c>
      <c r="W76" s="68">
        <v>0</v>
      </c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258"/>
    </row>
    <row r="77" spans="1:39" ht="15.75" customHeight="1" x14ac:dyDescent="0.25">
      <c r="A77" s="334" t="s">
        <v>366</v>
      </c>
      <c r="B77" s="307" t="s">
        <v>12</v>
      </c>
      <c r="C77" s="310">
        <f>+E77</f>
        <v>70.703999727247606</v>
      </c>
      <c r="D77" s="59" t="s">
        <v>116</v>
      </c>
      <c r="E77" s="60">
        <v>70.703999727247606</v>
      </c>
      <c r="F77" s="60">
        <v>49.288513638247601</v>
      </c>
      <c r="G77" s="60">
        <v>45.1513668312476</v>
      </c>
      <c r="H77" s="60">
        <v>41.097706529247603</v>
      </c>
      <c r="I77" s="60">
        <v>37.190944401247599</v>
      </c>
      <c r="J77" s="60">
        <v>33.381859604247602</v>
      </c>
      <c r="K77" s="60">
        <v>29.7035070682476</v>
      </c>
      <c r="L77" s="60">
        <v>26.1916800322476</v>
      </c>
      <c r="M77" s="60">
        <v>22.867157903247598</v>
      </c>
      <c r="N77" s="60">
        <v>19.831527699247602</v>
      </c>
      <c r="O77" s="65">
        <v>17.126319817247602</v>
      </c>
      <c r="P77" s="65">
        <v>14.7394748742476</v>
      </c>
      <c r="Q77" s="65">
        <v>12.653614798247601</v>
      </c>
      <c r="R77" s="65">
        <v>10.3039423632476</v>
      </c>
      <c r="S77" s="65">
        <v>7.5461747552475797</v>
      </c>
      <c r="T77" s="66">
        <v>5.2108583795475898</v>
      </c>
      <c r="U77" s="66">
        <v>3.3668228235475901</v>
      </c>
      <c r="V77" s="66">
        <v>1.8850147568475999</v>
      </c>
      <c r="W77" s="66">
        <v>0</v>
      </c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257"/>
    </row>
    <row r="78" spans="1:39" ht="15.75" customHeight="1" x14ac:dyDescent="0.25">
      <c r="A78" s="335"/>
      <c r="B78" s="306"/>
      <c r="C78" s="309"/>
      <c r="D78" s="59" t="s">
        <v>117</v>
      </c>
      <c r="E78" s="62">
        <v>1.410778906</v>
      </c>
      <c r="F78" s="63">
        <v>1.410778906</v>
      </c>
      <c r="G78" s="63">
        <v>1.3604964859999999</v>
      </c>
      <c r="H78" s="63">
        <v>1.3315763300000001</v>
      </c>
      <c r="I78" s="63">
        <v>1.2882922139999999</v>
      </c>
      <c r="J78" s="63">
        <v>1.2650569810000001</v>
      </c>
      <c r="K78" s="63">
        <v>1.209629123</v>
      </c>
      <c r="L78" s="63">
        <v>1.147674343</v>
      </c>
      <c r="M78" s="63">
        <v>1.080302699</v>
      </c>
      <c r="N78" s="63">
        <v>0.97507424499999995</v>
      </c>
      <c r="O78" s="68">
        <v>0.86546701199999998</v>
      </c>
      <c r="P78" s="68">
        <v>0.76117477899999997</v>
      </c>
      <c r="Q78" s="68">
        <v>0.66288072399999998</v>
      </c>
      <c r="R78" s="63">
        <v>0.54462495700000002</v>
      </c>
      <c r="S78" s="63">
        <v>0.40468014000000002</v>
      </c>
      <c r="T78" s="70">
        <v>0.28617304739999999</v>
      </c>
      <c r="U78" s="70">
        <v>0.19259633600000001</v>
      </c>
      <c r="V78" s="70">
        <v>0.1174011338</v>
      </c>
      <c r="W78" s="70">
        <v>0</v>
      </c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258"/>
    </row>
    <row r="79" spans="1:39" ht="15.75" customHeight="1" x14ac:dyDescent="0.25">
      <c r="A79" s="334" t="s">
        <v>367</v>
      </c>
      <c r="B79" s="307" t="s">
        <v>12</v>
      </c>
      <c r="C79" s="310">
        <f>+E79</f>
        <v>487.78598291406001</v>
      </c>
      <c r="D79" s="59" t="s">
        <v>116</v>
      </c>
      <c r="E79" s="60">
        <v>487.78598291406001</v>
      </c>
      <c r="F79" s="60">
        <v>325.08744932406</v>
      </c>
      <c r="G79" s="60">
        <v>294.64711915406002</v>
      </c>
      <c r="H79" s="60">
        <v>264.97541628405997</v>
      </c>
      <c r="I79" s="60">
        <v>236.89060903405999</v>
      </c>
      <c r="J79" s="60">
        <v>218.97608587406</v>
      </c>
      <c r="K79" s="60">
        <v>197.52265714705999</v>
      </c>
      <c r="L79" s="60">
        <v>181.02324385506</v>
      </c>
      <c r="M79" s="60">
        <v>165.02573235706001</v>
      </c>
      <c r="N79" s="60">
        <v>141.69528020406</v>
      </c>
      <c r="O79" s="65">
        <v>119.18944758105999</v>
      </c>
      <c r="P79" s="65">
        <v>97.904254973059807</v>
      </c>
      <c r="Q79" s="65">
        <v>81.423094437059802</v>
      </c>
      <c r="R79" s="65">
        <v>66.427250332059799</v>
      </c>
      <c r="S79" s="65">
        <v>53.1995514759599</v>
      </c>
      <c r="T79" s="65">
        <v>39.9345168221599</v>
      </c>
      <c r="U79" s="65">
        <v>30.958414274059901</v>
      </c>
      <c r="V79" s="65">
        <v>21.3736972905599</v>
      </c>
      <c r="W79" s="65">
        <v>10.421369237559899</v>
      </c>
      <c r="X79" s="66">
        <v>0</v>
      </c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257"/>
    </row>
    <row r="80" spans="1:39" ht="15.75" customHeight="1" x14ac:dyDescent="0.25">
      <c r="A80" s="335"/>
      <c r="B80" s="306"/>
      <c r="C80" s="309"/>
      <c r="D80" s="59" t="s">
        <v>117</v>
      </c>
      <c r="E80" s="62">
        <v>5.1883837000000002</v>
      </c>
      <c r="F80" s="63">
        <v>5.1883837000000002</v>
      </c>
      <c r="G80" s="63">
        <v>5.0579725499999997</v>
      </c>
      <c r="H80" s="63">
        <v>4.9708748900000002</v>
      </c>
      <c r="I80" s="63">
        <v>4.5948875999999998</v>
      </c>
      <c r="J80" s="63">
        <v>4.4699514899999997</v>
      </c>
      <c r="K80" s="63">
        <v>4.2507552640000004</v>
      </c>
      <c r="L80" s="63">
        <v>4.0952920730000004</v>
      </c>
      <c r="M80" s="63">
        <v>3.9810142260000001</v>
      </c>
      <c r="N80" s="63">
        <v>3.84643991</v>
      </c>
      <c r="O80" s="68">
        <v>3.685946521</v>
      </c>
      <c r="P80" s="68">
        <v>3.418272253</v>
      </c>
      <c r="Q80" s="68">
        <v>3.1968881339999999</v>
      </c>
      <c r="R80" s="68">
        <v>2.8701992650000001</v>
      </c>
      <c r="S80" s="68">
        <v>2.4902806919999998</v>
      </c>
      <c r="T80" s="68">
        <v>2.0166272894000001</v>
      </c>
      <c r="U80" s="68">
        <v>1.6413573158999999</v>
      </c>
      <c r="V80" s="68">
        <v>1.1816943403</v>
      </c>
      <c r="W80" s="68">
        <v>0.60527392830000004</v>
      </c>
      <c r="X80" s="70">
        <v>0</v>
      </c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258"/>
    </row>
    <row r="81" spans="1:39" ht="15.75" customHeight="1" x14ac:dyDescent="0.25">
      <c r="A81" s="334" t="s">
        <v>368</v>
      </c>
      <c r="B81" s="307" t="s">
        <v>12</v>
      </c>
      <c r="C81" s="310">
        <f>+E81</f>
        <v>881.48595333719004</v>
      </c>
      <c r="D81" s="59" t="s">
        <v>116</v>
      </c>
      <c r="E81" s="60">
        <v>881.48595333719004</v>
      </c>
      <c r="F81" s="60">
        <v>284.24293204358997</v>
      </c>
      <c r="G81" s="60">
        <v>235.78659389059001</v>
      </c>
      <c r="H81" s="60">
        <v>202.32605115649</v>
      </c>
      <c r="I81" s="60">
        <v>170.87339816749</v>
      </c>
      <c r="J81" s="60">
        <v>153.13444455049</v>
      </c>
      <c r="K81" s="60">
        <v>130.92873560849</v>
      </c>
      <c r="L81" s="60">
        <v>105.81550444359</v>
      </c>
      <c r="M81" s="60">
        <v>92.361271061190095</v>
      </c>
      <c r="N81" s="60">
        <v>76.384386100890097</v>
      </c>
      <c r="O81" s="65">
        <v>62.596933064890102</v>
      </c>
      <c r="P81" s="65">
        <v>48.377145833089997</v>
      </c>
      <c r="Q81" s="65">
        <v>39.168724560489999</v>
      </c>
      <c r="R81" s="65">
        <v>29.920741114190001</v>
      </c>
      <c r="S81" s="65">
        <v>19.218273602210001</v>
      </c>
      <c r="T81" s="65">
        <v>8.9535187200000301</v>
      </c>
      <c r="U81" s="66">
        <v>0</v>
      </c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257"/>
    </row>
    <row r="82" spans="1:39" ht="15.75" customHeight="1" x14ac:dyDescent="0.25">
      <c r="A82" s="335"/>
      <c r="B82" s="306"/>
      <c r="C82" s="309"/>
      <c r="D82" s="59" t="s">
        <v>117</v>
      </c>
      <c r="E82" s="62">
        <v>7.0192855568999999</v>
      </c>
      <c r="F82" s="63">
        <v>7.0161497302000004</v>
      </c>
      <c r="G82" s="63">
        <v>6.8187987785999997</v>
      </c>
      <c r="H82" s="63">
        <v>6.5641288617000004</v>
      </c>
      <c r="I82" s="63">
        <v>6.1138042160000001</v>
      </c>
      <c r="J82" s="63">
        <v>5.7975913859999997</v>
      </c>
      <c r="K82" s="63">
        <v>5.3838150699999998</v>
      </c>
      <c r="L82" s="63">
        <v>4.7595162308000001</v>
      </c>
      <c r="M82" s="63">
        <v>4.3415627193999997</v>
      </c>
      <c r="N82" s="63">
        <v>3.7834200739999999</v>
      </c>
      <c r="O82" s="68">
        <v>3.249287899</v>
      </c>
      <c r="P82" s="68">
        <v>2.5885295985000001</v>
      </c>
      <c r="Q82" s="68">
        <v>2.1385149835999999</v>
      </c>
      <c r="R82" s="68">
        <v>1.6696817247</v>
      </c>
      <c r="S82" s="68">
        <v>1.1125399278799999</v>
      </c>
      <c r="T82" s="68">
        <v>0.56657875300000005</v>
      </c>
      <c r="U82" s="70">
        <v>0</v>
      </c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258"/>
    </row>
    <row r="83" spans="1:39" ht="15.75" customHeight="1" x14ac:dyDescent="0.25">
      <c r="A83" s="336" t="s">
        <v>12</v>
      </c>
      <c r="B83" s="313">
        <f>+E83</f>
        <v>0</v>
      </c>
      <c r="C83" s="310">
        <v>0</v>
      </c>
      <c r="D83" s="59" t="s">
        <v>116</v>
      </c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257"/>
    </row>
    <row r="84" spans="1:39" ht="15.75" customHeight="1" x14ac:dyDescent="0.25">
      <c r="A84" s="306"/>
      <c r="B84" s="309"/>
      <c r="C84" s="309"/>
      <c r="D84" s="59" t="s">
        <v>117</v>
      </c>
      <c r="E84" s="62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258"/>
    </row>
    <row r="85" spans="1:39" ht="15.75" customHeight="1" x14ac:dyDescent="0.25">
      <c r="A85" s="336" t="s">
        <v>12</v>
      </c>
      <c r="B85" s="333">
        <f>+E85</f>
        <v>0</v>
      </c>
      <c r="C85" s="310">
        <v>0</v>
      </c>
      <c r="D85" s="59" t="s">
        <v>116</v>
      </c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257"/>
    </row>
    <row r="86" spans="1:39" ht="15.75" customHeight="1" x14ac:dyDescent="0.25">
      <c r="A86" s="306"/>
      <c r="B86" s="309"/>
      <c r="C86" s="309"/>
      <c r="D86" s="59" t="s">
        <v>117</v>
      </c>
      <c r="E86" s="62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258"/>
    </row>
    <row r="87" spans="1:39" ht="15.75" customHeight="1" x14ac:dyDescent="0.25">
      <c r="A87" s="19" t="s">
        <v>124</v>
      </c>
      <c r="B87" s="56"/>
      <c r="C87" s="56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</row>
    <row r="88" spans="1:39" ht="15.75" customHeight="1" x14ac:dyDescent="0.25">
      <c r="A88" s="336" t="s">
        <v>12</v>
      </c>
      <c r="B88" s="307" t="s">
        <v>12</v>
      </c>
      <c r="C88" s="310">
        <v>0</v>
      </c>
      <c r="D88" s="59" t="s">
        <v>116</v>
      </c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257"/>
    </row>
    <row r="89" spans="1:39" ht="15.75" customHeight="1" x14ac:dyDescent="0.25">
      <c r="A89" s="337"/>
      <c r="B89" s="311"/>
      <c r="C89" s="312"/>
      <c r="D89" s="59" t="s">
        <v>117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263"/>
    </row>
    <row r="90" spans="1:39" ht="15.75" customHeight="1" x14ac:dyDescent="0.25">
      <c r="A90" s="334" t="s">
        <v>369</v>
      </c>
      <c r="B90" s="307" t="s">
        <v>12</v>
      </c>
      <c r="C90" s="310">
        <f>+E90</f>
        <v>2314.1137144060499</v>
      </c>
      <c r="D90" s="59" t="s">
        <v>116</v>
      </c>
      <c r="E90" s="60">
        <v>2314.1137144060499</v>
      </c>
      <c r="F90" s="60">
        <v>187.93486305308099</v>
      </c>
      <c r="G90" s="60">
        <v>151.403398743081</v>
      </c>
      <c r="H90" s="60">
        <v>116.15714248008101</v>
      </c>
      <c r="I90" s="60">
        <v>91.043885372081107</v>
      </c>
      <c r="J90" s="60">
        <v>75.458375353080996</v>
      </c>
      <c r="K90" s="60">
        <v>61.134714606250803</v>
      </c>
      <c r="L90" s="60">
        <v>48.064785728950497</v>
      </c>
      <c r="M90" s="60">
        <v>36.176208628950498</v>
      </c>
      <c r="N90" s="65">
        <v>25.938161648950398</v>
      </c>
      <c r="O90" s="65">
        <v>17.786361278950199</v>
      </c>
      <c r="P90" s="65">
        <v>11.7393465839505</v>
      </c>
      <c r="Q90" s="65">
        <v>4.0768129969501397</v>
      </c>
      <c r="R90" s="65">
        <v>1.13194237329981</v>
      </c>
      <c r="S90" s="66"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257"/>
    </row>
    <row r="91" spans="1:39" ht="15.75" customHeight="1" x14ac:dyDescent="0.25">
      <c r="A91" s="335"/>
      <c r="B91" s="311"/>
      <c r="C91" s="309"/>
      <c r="D91" s="59" t="s">
        <v>117</v>
      </c>
      <c r="E91" s="63">
        <v>9.2560862000000004</v>
      </c>
      <c r="F91" s="63">
        <v>9.2560862000000004</v>
      </c>
      <c r="G91" s="63">
        <v>9.0660086799999995</v>
      </c>
      <c r="H91" s="63">
        <v>8.6332122299999998</v>
      </c>
      <c r="I91" s="63">
        <v>8.1890424399999997</v>
      </c>
      <c r="J91" s="63">
        <v>7.6424810289999998</v>
      </c>
      <c r="K91" s="63">
        <v>7.0025210299999996</v>
      </c>
      <c r="L91" s="63">
        <v>6.3921983300000003</v>
      </c>
      <c r="M91" s="63">
        <v>5.7717432000000004</v>
      </c>
      <c r="N91" s="68">
        <v>4.8881684999999999</v>
      </c>
      <c r="O91" s="68">
        <v>3.8068667999999999</v>
      </c>
      <c r="P91" s="63">
        <v>2.7729837750000002</v>
      </c>
      <c r="Q91" s="63">
        <v>1.4944960899999999</v>
      </c>
      <c r="R91" s="63">
        <v>0.75031216999999994</v>
      </c>
      <c r="S91" s="70">
        <v>0</v>
      </c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258"/>
    </row>
    <row r="92" spans="1:39" ht="15.75" customHeight="1" x14ac:dyDescent="0.25">
      <c r="A92" s="334" t="s">
        <v>370</v>
      </c>
      <c r="B92" s="307" t="s">
        <v>12</v>
      </c>
      <c r="C92" s="310">
        <f>+E92</f>
        <v>2309.2137610162299</v>
      </c>
      <c r="D92" s="59" t="s">
        <v>116</v>
      </c>
      <c r="E92" s="60">
        <v>2309.2137610162299</v>
      </c>
      <c r="F92" s="60">
        <v>197.74139834019999</v>
      </c>
      <c r="G92" s="60">
        <v>153.97148068519999</v>
      </c>
      <c r="H92" s="60">
        <v>128.49841299720001</v>
      </c>
      <c r="I92" s="60">
        <v>104.0165089572</v>
      </c>
      <c r="J92" s="60">
        <v>81.251935157199597</v>
      </c>
      <c r="K92" s="60">
        <v>67.767932934199493</v>
      </c>
      <c r="L92" s="60">
        <v>55.468293479999403</v>
      </c>
      <c r="M92" s="60">
        <v>44.226095460999701</v>
      </c>
      <c r="N92" s="60">
        <v>34.146898360999799</v>
      </c>
      <c r="O92" s="65">
        <v>25.800312740999701</v>
      </c>
      <c r="P92" s="65">
        <v>19.063074135999599</v>
      </c>
      <c r="Q92" s="65">
        <v>13.528076520999999</v>
      </c>
      <c r="R92" s="65">
        <v>5.6961801009997499</v>
      </c>
      <c r="S92" s="65">
        <v>1.5893541400000699</v>
      </c>
      <c r="T92" s="66"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257"/>
    </row>
    <row r="93" spans="1:39" ht="15.75" customHeight="1" x14ac:dyDescent="0.25">
      <c r="A93" s="335"/>
      <c r="B93" s="311"/>
      <c r="C93" s="309"/>
      <c r="D93" s="59" t="s">
        <v>117</v>
      </c>
      <c r="E93" s="62">
        <v>8.8160083399999998</v>
      </c>
      <c r="F93" s="63">
        <v>8.8160083399999998</v>
      </c>
      <c r="G93" s="63">
        <v>8.6982234199999997</v>
      </c>
      <c r="H93" s="63">
        <v>8.3512164729999991</v>
      </c>
      <c r="I93" s="63">
        <v>8.0579193599999996</v>
      </c>
      <c r="J93" s="63">
        <v>7.26101405</v>
      </c>
      <c r="K93" s="63">
        <v>6.5781250330000001</v>
      </c>
      <c r="L93" s="63">
        <v>6.0083347299999996</v>
      </c>
      <c r="M93" s="63">
        <v>5.4943958000000004</v>
      </c>
      <c r="N93" s="63">
        <v>4.8745577999999998</v>
      </c>
      <c r="O93" s="68">
        <v>3.9366608799999998</v>
      </c>
      <c r="P93" s="68">
        <v>3.202538375</v>
      </c>
      <c r="Q93" s="63">
        <v>2.6242740850000001</v>
      </c>
      <c r="R93" s="63">
        <v>1.5745151799999999</v>
      </c>
      <c r="S93" s="63">
        <v>0.7133874</v>
      </c>
      <c r="T93" s="70">
        <v>0</v>
      </c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258"/>
    </row>
    <row r="94" spans="1:39" ht="15.75" customHeight="1" x14ac:dyDescent="0.25">
      <c r="A94" s="334" t="s">
        <v>371</v>
      </c>
      <c r="B94" s="307" t="s">
        <v>12</v>
      </c>
      <c r="C94" s="310">
        <f>+E94</f>
        <v>2588.6587743893901</v>
      </c>
      <c r="D94" s="59" t="s">
        <v>116</v>
      </c>
      <c r="E94" s="65">
        <v>2588.6587743893901</v>
      </c>
      <c r="F94" s="65">
        <v>331.941989760208</v>
      </c>
      <c r="G94" s="65">
        <v>289.51299074020801</v>
      </c>
      <c r="H94" s="65">
        <v>234.127673093449</v>
      </c>
      <c r="I94" s="65">
        <v>193.74915362444901</v>
      </c>
      <c r="J94" s="65">
        <v>168.78623789444899</v>
      </c>
      <c r="K94" s="65">
        <v>145.99443294444899</v>
      </c>
      <c r="L94" s="65">
        <v>115.290510047449</v>
      </c>
      <c r="M94" s="65">
        <v>88.931059113448995</v>
      </c>
      <c r="N94" s="65">
        <v>67.253239393448894</v>
      </c>
      <c r="O94" s="65">
        <v>55.438656443448998</v>
      </c>
      <c r="P94" s="65">
        <v>45.645455936449302</v>
      </c>
      <c r="Q94" s="65">
        <v>31.200360725449599</v>
      </c>
      <c r="R94" s="65">
        <v>18.368006038449501</v>
      </c>
      <c r="S94" s="65">
        <v>0</v>
      </c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257"/>
    </row>
    <row r="95" spans="1:39" ht="15.75" customHeight="1" x14ac:dyDescent="0.25">
      <c r="A95" s="335"/>
      <c r="B95" s="311"/>
      <c r="C95" s="309"/>
      <c r="D95" s="59" t="s">
        <v>117</v>
      </c>
      <c r="E95" s="67">
        <v>14.275670010000001</v>
      </c>
      <c r="F95" s="68">
        <v>14.275670010000001</v>
      </c>
      <c r="G95" s="68">
        <v>14.051838480000001</v>
      </c>
      <c r="H95" s="68">
        <v>13.763868781759999</v>
      </c>
      <c r="I95" s="68">
        <v>13.1767053</v>
      </c>
      <c r="J95" s="68">
        <v>12.191671080000001</v>
      </c>
      <c r="K95" s="68">
        <v>11.141159500000001</v>
      </c>
      <c r="L95" s="68">
        <v>9.7903415999999996</v>
      </c>
      <c r="M95" s="68">
        <v>8.2559967600000004</v>
      </c>
      <c r="N95" s="68">
        <v>6.6890679200000003</v>
      </c>
      <c r="O95" s="68">
        <v>5.6346915700000002</v>
      </c>
      <c r="P95" s="68">
        <v>4.6424520600000001</v>
      </c>
      <c r="Q95" s="68">
        <v>3.0423078499999998</v>
      </c>
      <c r="R95" s="68">
        <v>1.6029878200000001</v>
      </c>
      <c r="S95" s="68">
        <v>0</v>
      </c>
      <c r="T95" s="69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258"/>
    </row>
    <row r="96" spans="1:39" ht="15.75" customHeight="1" x14ac:dyDescent="0.25">
      <c r="A96" s="19" t="s">
        <v>126</v>
      </c>
      <c r="B96" s="56"/>
      <c r="C96" s="56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</row>
    <row r="97" spans="1:39" ht="15.75" customHeight="1" x14ac:dyDescent="0.25">
      <c r="A97" s="336"/>
      <c r="B97" s="307" t="s">
        <v>12</v>
      </c>
      <c r="C97" s="310">
        <f>+E97</f>
        <v>0</v>
      </c>
      <c r="D97" s="59" t="s">
        <v>116</v>
      </c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257"/>
    </row>
    <row r="98" spans="1:39" ht="15.75" customHeight="1" x14ac:dyDescent="0.25">
      <c r="A98" s="306"/>
      <c r="B98" s="306"/>
      <c r="C98" s="309"/>
      <c r="D98" s="59" t="s">
        <v>117</v>
      </c>
      <c r="E98" s="62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258"/>
    </row>
    <row r="99" spans="1:39" ht="15.75" customHeight="1" x14ac:dyDescent="0.25">
      <c r="A99" s="336"/>
      <c r="B99" s="307" t="s">
        <v>12</v>
      </c>
      <c r="C99" s="338">
        <f>+E99</f>
        <v>0</v>
      </c>
      <c r="D99" s="59" t="s">
        <v>116</v>
      </c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65"/>
      <c r="T99" s="65"/>
      <c r="U99" s="65"/>
      <c r="V99" s="65"/>
      <c r="W99" s="65"/>
      <c r="X99" s="65"/>
      <c r="Y99" s="65"/>
      <c r="Z99" s="65"/>
      <c r="AA99" s="265"/>
      <c r="AB99" s="66"/>
      <c r="AC99" s="66"/>
      <c r="AD99" s="66"/>
      <c r="AE99" s="66"/>
      <c r="AF99" s="66"/>
      <c r="AG99" s="66"/>
      <c r="AH99" s="266"/>
      <c r="AI99" s="66"/>
      <c r="AJ99" s="66"/>
      <c r="AK99" s="66"/>
      <c r="AL99" s="66"/>
      <c r="AM99" s="257"/>
    </row>
    <row r="100" spans="1:39" ht="15.75" customHeight="1" x14ac:dyDescent="0.25">
      <c r="A100" s="306"/>
      <c r="B100" s="306"/>
      <c r="C100" s="309"/>
      <c r="D100" s="59" t="s">
        <v>117</v>
      </c>
      <c r="E100" s="267"/>
      <c r="F100" s="268"/>
      <c r="G100" s="268"/>
      <c r="H100" s="268"/>
      <c r="I100" s="268"/>
      <c r="J100" s="267"/>
      <c r="K100" s="267"/>
      <c r="L100" s="267"/>
      <c r="M100" s="267"/>
      <c r="N100" s="267"/>
      <c r="O100" s="267"/>
      <c r="P100" s="267"/>
      <c r="Q100" s="267"/>
      <c r="R100" s="267"/>
      <c r="S100" s="62"/>
      <c r="T100" s="62"/>
      <c r="U100" s="62"/>
      <c r="V100" s="62"/>
      <c r="W100" s="62"/>
      <c r="X100" s="62"/>
      <c r="Y100" s="62"/>
      <c r="Z100" s="62"/>
      <c r="AA100" s="269"/>
      <c r="AB100" s="70"/>
      <c r="AC100" s="70"/>
      <c r="AD100" s="70"/>
      <c r="AE100" s="70"/>
      <c r="AF100" s="70"/>
      <c r="AG100" s="70"/>
      <c r="AH100" s="233"/>
      <c r="AI100" s="70"/>
      <c r="AJ100" s="70"/>
      <c r="AK100" s="70"/>
      <c r="AL100" s="70"/>
      <c r="AM100" s="258"/>
    </row>
    <row r="101" spans="1:39" ht="15.75" customHeight="1" x14ac:dyDescent="0.25"/>
    <row r="102" spans="1:39" ht="15.75" customHeight="1" x14ac:dyDescent="0.25"/>
    <row r="103" spans="1:39" ht="15.75" customHeight="1" x14ac:dyDescent="0.25">
      <c r="A103" s="255" t="s">
        <v>372</v>
      </c>
    </row>
    <row r="104" spans="1:39" ht="15.75" customHeight="1" x14ac:dyDescent="0.25">
      <c r="A104" s="48" t="s">
        <v>111</v>
      </c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256"/>
    </row>
    <row r="105" spans="1:39" ht="15.75" customHeight="1" x14ac:dyDescent="0.25">
      <c r="A105" s="50" t="s">
        <v>0</v>
      </c>
      <c r="B105" s="51" t="s">
        <v>112</v>
      </c>
      <c r="C105" s="52" t="s">
        <v>113</v>
      </c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3"/>
      <c r="V105" s="53"/>
      <c r="W105" s="53"/>
      <c r="X105" s="53"/>
      <c r="Y105" s="53"/>
      <c r="Z105" s="53"/>
      <c r="AA105" s="54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</row>
    <row r="106" spans="1:39" ht="15.75" customHeight="1" x14ac:dyDescent="0.25">
      <c r="A106" s="272" t="s">
        <v>114</v>
      </c>
      <c r="B106" s="273"/>
      <c r="C106" s="274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</row>
    <row r="107" spans="1:39" ht="15.75" customHeight="1" x14ac:dyDescent="0.25">
      <c r="A107" s="334" t="s">
        <v>373</v>
      </c>
      <c r="B107" s="307" t="s">
        <v>12</v>
      </c>
      <c r="C107" s="310">
        <f>+E107</f>
        <v>5.8600034000000001</v>
      </c>
      <c r="D107" s="277" t="s">
        <v>116</v>
      </c>
      <c r="E107" s="65">
        <v>5.8600034000000001</v>
      </c>
      <c r="F107" s="65">
        <v>0.68552640000000098</v>
      </c>
      <c r="G107" s="65">
        <v>0.60279640000000101</v>
      </c>
      <c r="H107" s="65">
        <v>0.53185140000000097</v>
      </c>
      <c r="I107" s="65">
        <v>0.47120340000000099</v>
      </c>
      <c r="J107" s="65">
        <v>0.44046240000000098</v>
      </c>
      <c r="K107" s="65">
        <v>0.38783240000000202</v>
      </c>
      <c r="L107" s="65">
        <v>0.354985400000002</v>
      </c>
      <c r="M107" s="65">
        <v>0.31848340000000303</v>
      </c>
      <c r="N107" s="65">
        <v>0.26484040000000297</v>
      </c>
      <c r="O107" s="65">
        <v>0.21117740000000401</v>
      </c>
      <c r="P107" s="261">
        <v>0.18225640000000401</v>
      </c>
      <c r="Q107" s="278"/>
      <c r="R107" s="65"/>
      <c r="S107" s="257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257"/>
    </row>
    <row r="108" spans="1:39" ht="15.75" customHeight="1" x14ac:dyDescent="0.25">
      <c r="A108" s="335"/>
      <c r="B108" s="306"/>
      <c r="C108" s="309"/>
      <c r="D108" s="59" t="s">
        <v>117</v>
      </c>
      <c r="E108" s="63">
        <v>3.0151000000000001E-2</v>
      </c>
      <c r="F108" s="63">
        <v>3.0151000000000001E-2</v>
      </c>
      <c r="G108" s="63">
        <v>2.623E-2</v>
      </c>
      <c r="H108" s="63">
        <v>2.2422999999999998E-2</v>
      </c>
      <c r="I108" s="63">
        <v>1.9168999999999999E-2</v>
      </c>
      <c r="J108" s="63">
        <v>1.4969E-2</v>
      </c>
      <c r="K108" s="63">
        <v>1.2145E-2</v>
      </c>
      <c r="L108" s="63">
        <v>1.0382000000000001E-2</v>
      </c>
      <c r="M108" s="63">
        <v>8.4229999999999999E-3</v>
      </c>
      <c r="N108" s="63">
        <v>5.5440000000000003E-3</v>
      </c>
      <c r="O108" s="63">
        <v>3.7859999999999999E-3</v>
      </c>
      <c r="P108" s="279">
        <v>2.1979999999999999E-3</v>
      </c>
      <c r="Q108" s="280"/>
      <c r="R108" s="63"/>
      <c r="S108" s="258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258"/>
    </row>
    <row r="109" spans="1:39" ht="15.75" customHeight="1" x14ac:dyDescent="0.25">
      <c r="A109" s="334" t="s">
        <v>374</v>
      </c>
      <c r="B109" s="307" t="s">
        <v>12</v>
      </c>
      <c r="C109" s="310">
        <f>+E109</f>
        <v>5.86</v>
      </c>
      <c r="D109" s="277" t="s">
        <v>116</v>
      </c>
      <c r="E109" s="60">
        <v>5.86</v>
      </c>
      <c r="F109" s="60">
        <v>0.68719440000000298</v>
      </c>
      <c r="G109" s="60">
        <v>0.60422140000000202</v>
      </c>
      <c r="H109" s="60">
        <v>0.53306940000000103</v>
      </c>
      <c r="I109" s="60">
        <v>0.47224540000000198</v>
      </c>
      <c r="J109" s="60">
        <v>0.42024840000000102</v>
      </c>
      <c r="K109" s="60">
        <v>0.31063240000000097</v>
      </c>
      <c r="L109" s="60">
        <v>0.252791400000001</v>
      </c>
      <c r="M109" s="60">
        <v>0.179052400000002</v>
      </c>
      <c r="N109" s="60">
        <v>0.14895440000000201</v>
      </c>
      <c r="O109" s="60">
        <v>0.117402400000001</v>
      </c>
      <c r="P109" s="60">
        <v>8.6678400000001196E-2</v>
      </c>
      <c r="Q109" s="261">
        <v>4.9726400000000802E-2</v>
      </c>
      <c r="R109" s="278"/>
      <c r="S109" s="257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257"/>
    </row>
    <row r="110" spans="1:39" ht="15.75" customHeight="1" x14ac:dyDescent="0.25">
      <c r="A110" s="335"/>
      <c r="B110" s="306"/>
      <c r="C110" s="309"/>
      <c r="D110" s="59" t="s">
        <v>117</v>
      </c>
      <c r="E110" s="63">
        <v>3.024E-2</v>
      </c>
      <c r="F110" s="63">
        <v>3.024E-2</v>
      </c>
      <c r="G110" s="63">
        <v>2.6307000000000001E-2</v>
      </c>
      <c r="H110" s="63">
        <v>2.2488999999999999E-2</v>
      </c>
      <c r="I110" s="63">
        <v>1.9224999999999999E-2</v>
      </c>
      <c r="J110" s="63">
        <v>1.6435000000000002E-2</v>
      </c>
      <c r="K110" s="63">
        <v>1.515E-2</v>
      </c>
      <c r="L110" s="63">
        <v>1.3728000000000001E-2</v>
      </c>
      <c r="M110" s="63">
        <v>1.1365E-2</v>
      </c>
      <c r="N110" s="63">
        <v>9.0729999999999995E-3</v>
      </c>
      <c r="O110" s="63">
        <v>7.2810000000000001E-3</v>
      </c>
      <c r="P110" s="63">
        <v>5.4790000000000004E-3</v>
      </c>
      <c r="Q110" s="279">
        <v>3.1779999999999998E-3</v>
      </c>
      <c r="R110" s="280"/>
      <c r="S110" s="263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258"/>
    </row>
    <row r="111" spans="1:39" ht="15.75" customHeight="1" x14ac:dyDescent="0.25">
      <c r="A111" s="334" t="s">
        <v>375</v>
      </c>
      <c r="B111" s="307" t="s">
        <v>12</v>
      </c>
      <c r="C111" s="310">
        <f>+E111</f>
        <v>7.2400155000000002</v>
      </c>
      <c r="D111" s="277" t="s">
        <v>116</v>
      </c>
      <c r="E111" s="60">
        <v>7.2400155000000002</v>
      </c>
      <c r="F111" s="60">
        <v>1.5678623</v>
      </c>
      <c r="G111" s="60">
        <v>1.4343853</v>
      </c>
      <c r="H111" s="60">
        <v>1.3140333</v>
      </c>
      <c r="I111" s="60">
        <v>1.2054353</v>
      </c>
      <c r="J111" s="60">
        <v>1.0445603000000001</v>
      </c>
      <c r="K111" s="60">
        <v>0.88758430000000099</v>
      </c>
      <c r="L111" s="60">
        <v>0.76393530000000198</v>
      </c>
      <c r="M111" s="60">
        <v>0.65282830000000103</v>
      </c>
      <c r="N111" s="60">
        <v>0.55326230000000198</v>
      </c>
      <c r="O111" s="60">
        <v>0.44597930000000102</v>
      </c>
      <c r="P111" s="60">
        <v>0.35765730000000101</v>
      </c>
      <c r="Q111" s="60">
        <v>0.27235330000000202</v>
      </c>
      <c r="R111" s="65">
        <v>0.205088300000003</v>
      </c>
      <c r="S111" s="66">
        <v>0.13699230000000201</v>
      </c>
      <c r="T111" s="257">
        <v>8.7460300000002697E-2</v>
      </c>
      <c r="U111" s="281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257"/>
    </row>
    <row r="112" spans="1:39" ht="15.75" customHeight="1" x14ac:dyDescent="0.25">
      <c r="A112" s="335"/>
      <c r="B112" s="306"/>
      <c r="C112" s="309"/>
      <c r="D112" s="59" t="s">
        <v>117</v>
      </c>
      <c r="E112" s="63">
        <v>4.7418000000000002E-2</v>
      </c>
      <c r="F112" s="63">
        <v>4.7418000000000002E-2</v>
      </c>
      <c r="G112" s="63">
        <v>4.2979999999999997E-2</v>
      </c>
      <c r="H112" s="63">
        <v>3.8741999999999999E-2</v>
      </c>
      <c r="I112" s="63">
        <v>3.4978000000000002E-2</v>
      </c>
      <c r="J112" s="63">
        <v>3.3043000000000003E-2</v>
      </c>
      <c r="K112" s="63">
        <v>3.2537000000000003E-2</v>
      </c>
      <c r="L112" s="63">
        <v>2.9658E-2</v>
      </c>
      <c r="M112" s="63">
        <v>2.6706000000000001E-2</v>
      </c>
      <c r="N112" s="63">
        <v>2.3727999999999999E-2</v>
      </c>
      <c r="O112" s="63">
        <v>1.9861E-2</v>
      </c>
      <c r="P112" s="63">
        <v>1.6293999999999999E-2</v>
      </c>
      <c r="Q112" s="63">
        <v>1.2848E-2</v>
      </c>
      <c r="R112" s="63">
        <v>1.0130999999999999E-2</v>
      </c>
      <c r="S112" s="70">
        <v>7.3800000000000003E-3</v>
      </c>
      <c r="T112" s="258">
        <v>4.4450000000000002E-3</v>
      </c>
      <c r="U112" s="282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258"/>
    </row>
    <row r="113" spans="1:39" ht="15.75" customHeight="1" x14ac:dyDescent="0.25">
      <c r="A113" s="334" t="s">
        <v>376</v>
      </c>
      <c r="B113" s="307" t="s">
        <v>12</v>
      </c>
      <c r="C113" s="310">
        <f>+E113</f>
        <v>0</v>
      </c>
      <c r="D113" s="277" t="s">
        <v>116</v>
      </c>
      <c r="E113" s="60">
        <v>0</v>
      </c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261"/>
      <c r="R113" s="60"/>
      <c r="S113" s="60"/>
      <c r="T113" s="60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6"/>
      <c r="AG113" s="66"/>
      <c r="AH113" s="66"/>
      <c r="AI113" s="66"/>
      <c r="AJ113" s="66"/>
      <c r="AK113" s="66"/>
      <c r="AL113" s="66"/>
      <c r="AM113" s="257"/>
    </row>
    <row r="114" spans="1:39" ht="15.75" customHeight="1" x14ac:dyDescent="0.25">
      <c r="A114" s="335"/>
      <c r="B114" s="306"/>
      <c r="C114" s="309"/>
      <c r="D114" s="59" t="s">
        <v>117</v>
      </c>
      <c r="E114" s="63">
        <v>0</v>
      </c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279"/>
      <c r="R114" s="63"/>
      <c r="S114" s="63"/>
      <c r="T114" s="63"/>
      <c r="U114" s="63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9"/>
      <c r="AG114" s="69"/>
      <c r="AH114" s="69"/>
      <c r="AI114" s="69"/>
      <c r="AJ114" s="69"/>
      <c r="AK114" s="69"/>
      <c r="AL114" s="69"/>
      <c r="AM114" s="263"/>
    </row>
    <row r="115" spans="1:39" ht="15.75" customHeight="1" x14ac:dyDescent="0.25">
      <c r="A115" s="334" t="s">
        <v>377</v>
      </c>
      <c r="B115" s="307" t="s">
        <v>12</v>
      </c>
      <c r="C115" s="310">
        <f>+E115</f>
        <v>0</v>
      </c>
      <c r="D115" s="277" t="s">
        <v>116</v>
      </c>
      <c r="E115" s="60">
        <v>0</v>
      </c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261"/>
      <c r="R115" s="14"/>
      <c r="S115" s="14"/>
      <c r="T115" s="65"/>
      <c r="U115" s="65"/>
      <c r="V115" s="65"/>
      <c r="W115" s="65"/>
      <c r="X115" s="65"/>
      <c r="Y115" s="65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257"/>
    </row>
    <row r="116" spans="1:39" ht="15.75" customHeight="1" x14ac:dyDescent="0.25">
      <c r="A116" s="335"/>
      <c r="B116" s="306"/>
      <c r="C116" s="309"/>
      <c r="D116" s="59" t="s">
        <v>117</v>
      </c>
      <c r="E116" s="63">
        <v>0</v>
      </c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279"/>
      <c r="R116" s="14"/>
      <c r="S116" s="14"/>
      <c r="T116" s="63"/>
      <c r="U116" s="63"/>
      <c r="V116" s="63"/>
      <c r="W116" s="63"/>
      <c r="X116" s="63"/>
      <c r="Y116" s="63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258"/>
    </row>
    <row r="117" spans="1:39" ht="15.75" customHeight="1" x14ac:dyDescent="0.25">
      <c r="A117" s="334" t="s">
        <v>378</v>
      </c>
      <c r="B117" s="307" t="s">
        <v>12</v>
      </c>
      <c r="C117" s="310">
        <f>+E117</f>
        <v>0</v>
      </c>
      <c r="D117" s="277" t="s">
        <v>116</v>
      </c>
      <c r="E117" s="60">
        <v>0</v>
      </c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261"/>
      <c r="R117" s="60"/>
      <c r="S117" s="60"/>
      <c r="T117" s="60"/>
      <c r="U117" s="60"/>
      <c r="V117" s="60"/>
      <c r="W117" s="60"/>
      <c r="X117" s="60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60"/>
    </row>
    <row r="118" spans="1:39" ht="15.75" customHeight="1" x14ac:dyDescent="0.25">
      <c r="A118" s="335"/>
      <c r="B118" s="306"/>
      <c r="C118" s="309"/>
      <c r="D118" s="59" t="s">
        <v>117</v>
      </c>
      <c r="E118" s="63">
        <v>0</v>
      </c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279"/>
      <c r="R118" s="63"/>
      <c r="S118" s="68"/>
      <c r="T118" s="68"/>
      <c r="U118" s="68"/>
      <c r="V118" s="68"/>
      <c r="W118" s="68"/>
      <c r="X118" s="68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263"/>
    </row>
    <row r="119" spans="1:39" ht="15.75" customHeight="1" x14ac:dyDescent="0.25">
      <c r="A119" s="336" t="s">
        <v>12</v>
      </c>
      <c r="B119" s="313">
        <f>+E119</f>
        <v>0</v>
      </c>
      <c r="C119" s="310">
        <v>0</v>
      </c>
      <c r="D119" s="59" t="s">
        <v>116</v>
      </c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5"/>
      <c r="Q119" s="65"/>
      <c r="R119" s="65"/>
      <c r="S119" s="65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257"/>
    </row>
    <row r="120" spans="1:39" ht="15.75" customHeight="1" x14ac:dyDescent="0.25">
      <c r="A120" s="306"/>
      <c r="B120" s="309"/>
      <c r="C120" s="309"/>
      <c r="D120" s="59" t="s">
        <v>117</v>
      </c>
      <c r="E120" s="62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258"/>
    </row>
    <row r="121" spans="1:39" ht="15.75" customHeight="1" x14ac:dyDescent="0.25">
      <c r="A121" s="283" t="s">
        <v>120</v>
      </c>
      <c r="B121" s="274"/>
      <c r="C121" s="274"/>
      <c r="D121" s="276"/>
      <c r="E121" s="276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  <c r="AA121" s="276"/>
      <c r="AB121" s="276"/>
      <c r="AC121" s="276"/>
    </row>
    <row r="122" spans="1:39" ht="15.75" customHeight="1" x14ac:dyDescent="0.25">
      <c r="A122" s="334" t="s">
        <v>379</v>
      </c>
      <c r="B122" s="307" t="s">
        <v>12</v>
      </c>
      <c r="C122" s="310">
        <f>+E122</f>
        <v>4.2299990999999997</v>
      </c>
      <c r="D122" s="277" t="s">
        <v>116</v>
      </c>
      <c r="E122" s="60">
        <v>4.2299990999999997</v>
      </c>
      <c r="F122" s="60">
        <v>0.391897099999999</v>
      </c>
      <c r="G122" s="60">
        <v>0.34500609999999898</v>
      </c>
      <c r="H122" s="60">
        <v>0.30350509999999897</v>
      </c>
      <c r="I122" s="60">
        <v>0.26677409999999901</v>
      </c>
      <c r="J122" s="60">
        <v>0.234264099999999</v>
      </c>
      <c r="K122" s="60">
        <v>0.20549209999999901</v>
      </c>
      <c r="L122" s="60">
        <v>0.16841410000000001</v>
      </c>
      <c r="M122" s="60">
        <v>0.138013099999999</v>
      </c>
      <c r="N122" s="60">
        <v>0.1052911</v>
      </c>
      <c r="O122" s="60">
        <v>7.4171100000000004E-2</v>
      </c>
      <c r="P122" s="60">
        <v>4.7833100000000101E-2</v>
      </c>
      <c r="Q122" s="261">
        <v>2.0869100000000501E-2</v>
      </c>
      <c r="R122" s="65"/>
      <c r="S122" s="65"/>
      <c r="T122" s="65"/>
      <c r="U122" s="65"/>
      <c r="V122" s="65"/>
      <c r="W122" s="65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257"/>
    </row>
    <row r="123" spans="1:39" ht="15.75" customHeight="1" x14ac:dyDescent="0.25">
      <c r="A123" s="335"/>
      <c r="B123" s="306"/>
      <c r="C123" s="309"/>
      <c r="D123" s="59" t="s">
        <v>117</v>
      </c>
      <c r="E123" s="68">
        <v>2.5682E-2</v>
      </c>
      <c r="F123" s="68">
        <v>2.5682E-2</v>
      </c>
      <c r="G123" s="68">
        <v>2.273E-2</v>
      </c>
      <c r="H123" s="68">
        <v>2.0116999999999999E-2</v>
      </c>
      <c r="I123" s="68">
        <v>1.7805000000000001E-2</v>
      </c>
      <c r="J123" s="68">
        <v>1.5758999999999999E-2</v>
      </c>
      <c r="K123" s="68">
        <v>1.3946999999999999E-2</v>
      </c>
      <c r="L123" s="68">
        <v>1.1613E-2</v>
      </c>
      <c r="M123" s="68">
        <v>9.5069999999999998E-3</v>
      </c>
      <c r="N123" s="68">
        <v>7.4469999999999996E-3</v>
      </c>
      <c r="O123" s="68">
        <v>5.4879999999999998E-3</v>
      </c>
      <c r="P123" s="68">
        <v>3.7450000000000001E-3</v>
      </c>
      <c r="Q123" s="262">
        <v>1.9589999999999998E-3</v>
      </c>
      <c r="R123" s="68"/>
      <c r="S123" s="68"/>
      <c r="T123" s="68"/>
      <c r="U123" s="68"/>
      <c r="V123" s="68"/>
      <c r="W123" s="68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258"/>
    </row>
    <row r="124" spans="1:39" ht="15.75" customHeight="1" x14ac:dyDescent="0.25">
      <c r="A124" s="334" t="s">
        <v>380</v>
      </c>
      <c r="B124" s="307" t="s">
        <v>12</v>
      </c>
      <c r="C124" s="310">
        <f>+E124</f>
        <v>5.3000118000000001</v>
      </c>
      <c r="D124" s="277" t="s">
        <v>116</v>
      </c>
      <c r="E124" s="65">
        <v>5.3000118000000001</v>
      </c>
      <c r="F124" s="65">
        <v>1.1891925000000001</v>
      </c>
      <c r="G124" s="65">
        <v>1.0524555</v>
      </c>
      <c r="H124" s="65">
        <v>0.97061250000000099</v>
      </c>
      <c r="I124" s="65">
        <v>0.89648450000000102</v>
      </c>
      <c r="J124" s="65">
        <v>0.79818450000000096</v>
      </c>
      <c r="K124" s="65">
        <v>0.71344949999999996</v>
      </c>
      <c r="L124" s="65">
        <v>0.64040850000000005</v>
      </c>
      <c r="M124" s="65">
        <v>0.577447500000001</v>
      </c>
      <c r="N124" s="65">
        <v>0.52317550000000101</v>
      </c>
      <c r="O124" s="65">
        <v>0.3502345</v>
      </c>
      <c r="P124" s="65">
        <v>0.25583550000000099</v>
      </c>
      <c r="Q124" s="65">
        <v>0.16815850000000099</v>
      </c>
      <c r="R124" s="261">
        <v>9.5635500000001095E-2</v>
      </c>
      <c r="S124" s="278"/>
      <c r="T124" s="65"/>
      <c r="U124" s="65"/>
      <c r="V124" s="65"/>
      <c r="W124" s="65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257"/>
    </row>
    <row r="125" spans="1:39" ht="15.75" customHeight="1" x14ac:dyDescent="0.25">
      <c r="A125" s="335"/>
      <c r="B125" s="306"/>
      <c r="C125" s="309"/>
      <c r="D125" s="59" t="s">
        <v>117</v>
      </c>
      <c r="E125" s="68">
        <v>4.8675000000000003E-2</v>
      </c>
      <c r="F125" s="68">
        <v>4.8675000000000003E-2</v>
      </c>
      <c r="G125" s="68">
        <v>4.4017000000000001E-2</v>
      </c>
      <c r="H125" s="68">
        <v>3.9909E-2</v>
      </c>
      <c r="I125" s="68">
        <v>3.6146999999999999E-2</v>
      </c>
      <c r="J125" s="68">
        <v>3.1158999999999999E-2</v>
      </c>
      <c r="K125" s="68">
        <v>2.6859000000000001E-2</v>
      </c>
      <c r="L125" s="68">
        <v>2.3151999999999999E-2</v>
      </c>
      <c r="M125" s="68">
        <v>1.9956999999999999E-2</v>
      </c>
      <c r="N125" s="68">
        <v>1.7203E-2</v>
      </c>
      <c r="O125" s="68">
        <v>1.5041000000000001E-2</v>
      </c>
      <c r="P125" s="68">
        <v>1.2447E-2</v>
      </c>
      <c r="Q125" s="68">
        <v>9.4260000000000004E-3</v>
      </c>
      <c r="R125" s="262">
        <v>5.7460000000000002E-3</v>
      </c>
      <c r="S125" s="280"/>
      <c r="T125" s="68"/>
      <c r="U125" s="68"/>
      <c r="V125" s="68"/>
      <c r="W125" s="68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258"/>
    </row>
    <row r="126" spans="1:39" ht="15.75" customHeight="1" x14ac:dyDescent="0.25">
      <c r="A126" s="334" t="s">
        <v>381</v>
      </c>
      <c r="B126" s="307" t="s">
        <v>12</v>
      </c>
      <c r="C126" s="310">
        <f>+E126</f>
        <v>5.3000049000000002</v>
      </c>
      <c r="D126" s="277" t="s">
        <v>116</v>
      </c>
      <c r="E126" s="65">
        <v>5.3000049000000002</v>
      </c>
      <c r="F126" s="65">
        <v>1.1891864999999999</v>
      </c>
      <c r="G126" s="65">
        <v>1.0524495</v>
      </c>
      <c r="H126" s="65">
        <v>0.97060650000000304</v>
      </c>
      <c r="I126" s="65">
        <v>0.89647850000000295</v>
      </c>
      <c r="J126" s="65">
        <v>0.82933750000000295</v>
      </c>
      <c r="K126" s="65">
        <v>0.74030250000000297</v>
      </c>
      <c r="L126" s="65">
        <v>0.66355450000000304</v>
      </c>
      <c r="M126" s="65">
        <v>0.48503450000000298</v>
      </c>
      <c r="N126" s="65">
        <v>0.405155500000002</v>
      </c>
      <c r="O126" s="65">
        <v>0.33518450000000199</v>
      </c>
      <c r="P126" s="65">
        <v>0.259669500000002</v>
      </c>
      <c r="Q126" s="65">
        <v>0.198508500000002</v>
      </c>
      <c r="R126" s="65">
        <v>0.12749650000000001</v>
      </c>
      <c r="S126" s="261">
        <v>5.8698500000001097E-2</v>
      </c>
      <c r="T126" s="278"/>
      <c r="U126" s="65"/>
      <c r="V126" s="65"/>
      <c r="W126" s="65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257"/>
    </row>
    <row r="127" spans="1:39" ht="15.75" customHeight="1" x14ac:dyDescent="0.25">
      <c r="A127" s="335"/>
      <c r="B127" s="306"/>
      <c r="C127" s="309"/>
      <c r="D127" s="59" t="s">
        <v>117</v>
      </c>
      <c r="E127" s="63">
        <v>4.8675000000000003E-2</v>
      </c>
      <c r="F127" s="63">
        <v>4.8675000000000003E-2</v>
      </c>
      <c r="G127" s="63">
        <v>4.4017000000000001E-2</v>
      </c>
      <c r="H127" s="63">
        <v>3.9909E-2</v>
      </c>
      <c r="I127" s="63">
        <v>3.6146999999999999E-2</v>
      </c>
      <c r="J127" s="63">
        <v>3.2739999999999998E-2</v>
      </c>
      <c r="K127" s="63">
        <v>2.8222000000000001E-2</v>
      </c>
      <c r="L127" s="63">
        <v>2.4327000000000001E-2</v>
      </c>
      <c r="M127" s="63">
        <v>2.0990000000000002E-2</v>
      </c>
      <c r="N127" s="63">
        <v>1.8963000000000001E-2</v>
      </c>
      <c r="O127" s="63">
        <v>1.6667000000000001E-2</v>
      </c>
      <c r="P127" s="63">
        <v>1.4139000000000001E-2</v>
      </c>
      <c r="Q127" s="63">
        <v>1.1051999999999999E-2</v>
      </c>
      <c r="R127" s="63">
        <v>7.3629999999999998E-3</v>
      </c>
      <c r="S127" s="279">
        <v>3.8140000000000001E-3</v>
      </c>
      <c r="T127" s="280"/>
      <c r="U127" s="68"/>
      <c r="V127" s="68"/>
      <c r="W127" s="68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258"/>
    </row>
    <row r="128" spans="1:39" ht="15.75" customHeight="1" x14ac:dyDescent="0.25">
      <c r="A128" s="334" t="s">
        <v>382</v>
      </c>
      <c r="B128" s="307" t="s">
        <v>12</v>
      </c>
      <c r="C128" s="310">
        <f>+E128</f>
        <v>0</v>
      </c>
      <c r="D128" s="277" t="s">
        <v>116</v>
      </c>
      <c r="E128" s="60">
        <v>0</v>
      </c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284"/>
      <c r="T128" s="281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257"/>
    </row>
    <row r="129" spans="1:39" ht="15.75" customHeight="1" x14ac:dyDescent="0.25">
      <c r="A129" s="335"/>
      <c r="B129" s="306"/>
      <c r="C129" s="309"/>
      <c r="D129" s="59" t="s">
        <v>117</v>
      </c>
      <c r="E129" s="63">
        <v>0</v>
      </c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279"/>
      <c r="T129" s="282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258"/>
    </row>
    <row r="130" spans="1:39" ht="15.75" customHeight="1" x14ac:dyDescent="0.25">
      <c r="A130" s="334" t="s">
        <v>383</v>
      </c>
      <c r="B130" s="307" t="s">
        <v>12</v>
      </c>
      <c r="C130" s="310">
        <f>+E130</f>
        <v>0</v>
      </c>
      <c r="D130" s="277" t="s">
        <v>116</v>
      </c>
      <c r="E130" s="60">
        <v>0</v>
      </c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284"/>
      <c r="T130" s="278"/>
      <c r="U130" s="65"/>
      <c r="V130" s="65"/>
      <c r="W130" s="65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257"/>
    </row>
    <row r="131" spans="1:39" ht="15.75" customHeight="1" x14ac:dyDescent="0.25">
      <c r="A131" s="335"/>
      <c r="B131" s="306"/>
      <c r="C131" s="309"/>
      <c r="D131" s="59" t="s">
        <v>117</v>
      </c>
      <c r="E131" s="63">
        <v>0</v>
      </c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279"/>
      <c r="T131" s="280"/>
      <c r="U131" s="68"/>
      <c r="V131" s="68"/>
      <c r="W131" s="68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258"/>
    </row>
    <row r="132" spans="1:39" ht="15.75" customHeight="1" x14ac:dyDescent="0.25">
      <c r="A132" s="334" t="s">
        <v>384</v>
      </c>
      <c r="B132" s="307" t="s">
        <v>12</v>
      </c>
      <c r="C132" s="310">
        <f>+E132</f>
        <v>0</v>
      </c>
      <c r="D132" s="277" t="s">
        <v>116</v>
      </c>
      <c r="E132" s="60">
        <v>0</v>
      </c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284"/>
      <c r="T132" s="278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257"/>
    </row>
    <row r="133" spans="1:39" ht="15.75" customHeight="1" x14ac:dyDescent="0.25">
      <c r="A133" s="335"/>
      <c r="B133" s="306"/>
      <c r="C133" s="309"/>
      <c r="D133" s="59" t="s">
        <v>117</v>
      </c>
      <c r="E133" s="63">
        <v>0</v>
      </c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279"/>
      <c r="T133" s="28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258"/>
    </row>
    <row r="134" spans="1:39" ht="15.75" customHeight="1" x14ac:dyDescent="0.25">
      <c r="A134" s="336" t="s">
        <v>12</v>
      </c>
      <c r="B134" s="313">
        <f>+E134</f>
        <v>0</v>
      </c>
      <c r="C134" s="310">
        <v>0</v>
      </c>
      <c r="D134" s="277" t="s">
        <v>116</v>
      </c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257"/>
    </row>
    <row r="135" spans="1:39" ht="15.75" customHeight="1" x14ac:dyDescent="0.25">
      <c r="A135" s="306"/>
      <c r="B135" s="309"/>
      <c r="C135" s="309"/>
      <c r="D135" s="59" t="s">
        <v>117</v>
      </c>
      <c r="E135" s="62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258"/>
    </row>
    <row r="136" spans="1:39" ht="15.75" customHeight="1" x14ac:dyDescent="0.25">
      <c r="A136" s="336" t="s">
        <v>12</v>
      </c>
      <c r="B136" s="333">
        <f>+E136</f>
        <v>0</v>
      </c>
      <c r="C136" s="310">
        <v>0</v>
      </c>
      <c r="D136" s="59" t="s">
        <v>116</v>
      </c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257"/>
    </row>
    <row r="137" spans="1:39" ht="15.75" customHeight="1" x14ac:dyDescent="0.25">
      <c r="A137" s="306"/>
      <c r="B137" s="309"/>
      <c r="C137" s="309"/>
      <c r="D137" s="59" t="s">
        <v>117</v>
      </c>
      <c r="E137" s="62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258"/>
    </row>
    <row r="138" spans="1:39" ht="15.75" customHeight="1" x14ac:dyDescent="0.25">
      <c r="A138" s="283" t="s">
        <v>124</v>
      </c>
      <c r="B138" s="274"/>
      <c r="C138" s="274"/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  <c r="AA138" s="276"/>
      <c r="AB138" s="276"/>
      <c r="AC138" s="276"/>
    </row>
    <row r="139" spans="1:39" ht="15.75" customHeight="1" x14ac:dyDescent="0.25">
      <c r="A139" s="336" t="s">
        <v>12</v>
      </c>
      <c r="B139" s="307" t="s">
        <v>12</v>
      </c>
      <c r="C139" s="310">
        <v>0</v>
      </c>
      <c r="D139" s="59" t="s">
        <v>116</v>
      </c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257"/>
    </row>
    <row r="140" spans="1:39" ht="15.75" customHeight="1" x14ac:dyDescent="0.25">
      <c r="A140" s="337"/>
      <c r="B140" s="311"/>
      <c r="C140" s="309"/>
      <c r="D140" s="285" t="s">
        <v>117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263"/>
    </row>
    <row r="141" spans="1:39" ht="15.75" customHeight="1" x14ac:dyDescent="0.25">
      <c r="A141" s="334" t="s">
        <v>385</v>
      </c>
      <c r="B141" s="307" t="s">
        <v>12</v>
      </c>
      <c r="C141" s="310">
        <f>+E141</f>
        <v>3.8630089000000001</v>
      </c>
      <c r="D141" s="277" t="s">
        <v>116</v>
      </c>
      <c r="E141" s="65">
        <v>3.8630089000000001</v>
      </c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257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257"/>
    </row>
    <row r="142" spans="1:39" ht="15.75" customHeight="1" x14ac:dyDescent="0.25">
      <c r="A142" s="335"/>
      <c r="B142" s="311"/>
      <c r="C142" s="309"/>
      <c r="D142" s="59" t="s">
        <v>117</v>
      </c>
      <c r="E142" s="63">
        <v>0</v>
      </c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258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258"/>
    </row>
    <row r="143" spans="1:39" ht="15.75" customHeight="1" x14ac:dyDescent="0.25">
      <c r="A143" s="334" t="s">
        <v>386</v>
      </c>
      <c r="B143" s="307" t="s">
        <v>12</v>
      </c>
      <c r="C143" s="310">
        <f>+E143</f>
        <v>3.8630089600000002</v>
      </c>
      <c r="D143" s="277" t="s">
        <v>116</v>
      </c>
      <c r="E143" s="65">
        <v>3.8630089600000002</v>
      </c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257"/>
      <c r="U143" s="281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257"/>
    </row>
    <row r="144" spans="1:39" ht="15.75" customHeight="1" x14ac:dyDescent="0.25">
      <c r="A144" s="335"/>
      <c r="B144" s="311"/>
      <c r="C144" s="309"/>
      <c r="D144" s="59" t="s">
        <v>117</v>
      </c>
      <c r="E144" s="62">
        <v>0</v>
      </c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258"/>
      <c r="U144" s="282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258"/>
    </row>
    <row r="145" spans="1:39" ht="15.75" customHeight="1" x14ac:dyDescent="0.25">
      <c r="A145" s="334" t="s">
        <v>387</v>
      </c>
      <c r="B145" s="307" t="s">
        <v>12</v>
      </c>
      <c r="C145" s="310">
        <f>+E145</f>
        <v>7.0260103999999997</v>
      </c>
      <c r="D145" s="277" t="s">
        <v>116</v>
      </c>
      <c r="E145" s="65">
        <v>7.0260103999999997</v>
      </c>
      <c r="F145" s="65">
        <v>1.089866</v>
      </c>
      <c r="G145" s="65">
        <v>0.78828399999999699</v>
      </c>
      <c r="H145" s="65">
        <v>0.72381899999999699</v>
      </c>
      <c r="I145" s="65">
        <v>0.66567999999999705</v>
      </c>
      <c r="J145" s="65">
        <v>0.45739399999999802</v>
      </c>
      <c r="K145" s="65">
        <v>0.105362</v>
      </c>
      <c r="L145" s="65">
        <v>6.8787999999999599E-2</v>
      </c>
      <c r="M145" s="65">
        <v>3.9546999999999798E-2</v>
      </c>
      <c r="N145" s="65">
        <v>2.0102999999999802E-2</v>
      </c>
      <c r="O145" s="65">
        <v>7.2029999999996298E-3</v>
      </c>
      <c r="P145" s="65">
        <v>7.8099999999992097E-4</v>
      </c>
      <c r="Q145" s="261">
        <v>0</v>
      </c>
      <c r="R145" s="286"/>
      <c r="S145" s="60"/>
      <c r="T145" s="259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257"/>
    </row>
    <row r="146" spans="1:39" ht="15.75" customHeight="1" x14ac:dyDescent="0.25">
      <c r="A146" s="335"/>
      <c r="B146" s="311"/>
      <c r="C146" s="309"/>
      <c r="D146" s="59" t="s">
        <v>117</v>
      </c>
      <c r="E146" s="62">
        <v>7.7344999999999997E-2</v>
      </c>
      <c r="F146" s="63">
        <v>7.7344999999999997E-2</v>
      </c>
      <c r="G146" s="63">
        <v>7.0734000000000005E-2</v>
      </c>
      <c r="H146" s="63">
        <v>6.4464999999999995E-2</v>
      </c>
      <c r="I146" s="63">
        <v>5.8139000000000003E-2</v>
      </c>
      <c r="J146" s="63">
        <v>5.1893000000000002E-2</v>
      </c>
      <c r="K146" s="63">
        <v>4.3069000000000003E-2</v>
      </c>
      <c r="L146" s="63">
        <v>3.6574000000000002E-2</v>
      </c>
      <c r="M146" s="63">
        <v>2.9241E-2</v>
      </c>
      <c r="N146" s="63">
        <v>1.9443999999999999E-2</v>
      </c>
      <c r="O146" s="63">
        <v>1.29E-2</v>
      </c>
      <c r="P146" s="63">
        <v>6.4219999999999998E-3</v>
      </c>
      <c r="Q146" s="279">
        <v>7.8100000000000001E-4</v>
      </c>
      <c r="R146" s="280"/>
      <c r="S146" s="68"/>
      <c r="T146" s="69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258"/>
    </row>
    <row r="147" spans="1:39" ht="15.75" customHeight="1" x14ac:dyDescent="0.25">
      <c r="A147" s="283" t="s">
        <v>126</v>
      </c>
      <c r="B147" s="274"/>
      <c r="C147" s="274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76"/>
      <c r="S147" s="276"/>
      <c r="T147" s="276"/>
      <c r="U147" s="276"/>
      <c r="V147" s="276"/>
      <c r="W147" s="276"/>
      <c r="X147" s="276"/>
      <c r="Y147" s="276"/>
      <c r="Z147" s="276"/>
      <c r="AA147" s="276"/>
      <c r="AB147" s="276"/>
      <c r="AC147" s="276"/>
    </row>
    <row r="148" spans="1:39" ht="15.75" customHeight="1" x14ac:dyDescent="0.25">
      <c r="A148" s="336"/>
      <c r="B148" s="307" t="s">
        <v>12</v>
      </c>
      <c r="C148" s="310">
        <f>+E148</f>
        <v>0</v>
      </c>
      <c r="D148" s="59" t="s">
        <v>116</v>
      </c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257"/>
    </row>
    <row r="149" spans="1:39" ht="15.75" customHeight="1" x14ac:dyDescent="0.25">
      <c r="A149" s="306"/>
      <c r="B149" s="306"/>
      <c r="C149" s="309"/>
      <c r="D149" s="59" t="s">
        <v>117</v>
      </c>
      <c r="E149" s="62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258"/>
    </row>
    <row r="150" spans="1:39" ht="15.75" customHeight="1" x14ac:dyDescent="0.25">
      <c r="A150" s="336"/>
      <c r="B150" s="307" t="s">
        <v>12</v>
      </c>
      <c r="C150" s="338">
        <f>+E150</f>
        <v>0</v>
      </c>
      <c r="D150" s="59" t="s">
        <v>116</v>
      </c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  <c r="P150" s="264"/>
      <c r="Q150" s="264"/>
      <c r="R150" s="264"/>
      <c r="S150" s="65"/>
      <c r="T150" s="65"/>
      <c r="U150" s="65"/>
      <c r="V150" s="65"/>
      <c r="W150" s="65"/>
      <c r="X150" s="65"/>
      <c r="Y150" s="65"/>
      <c r="Z150" s="65"/>
      <c r="AA150" s="265"/>
      <c r="AB150" s="66"/>
      <c r="AC150" s="66"/>
      <c r="AD150" s="66"/>
      <c r="AE150" s="66"/>
      <c r="AF150" s="66"/>
      <c r="AG150" s="66"/>
      <c r="AH150" s="266"/>
      <c r="AI150" s="66"/>
      <c r="AJ150" s="66"/>
      <c r="AK150" s="66"/>
      <c r="AL150" s="66"/>
      <c r="AM150" s="257"/>
    </row>
    <row r="151" spans="1:39" ht="15.75" customHeight="1" x14ac:dyDescent="0.25">
      <c r="A151" s="306"/>
      <c r="B151" s="306"/>
      <c r="C151" s="309"/>
      <c r="D151" s="59" t="s">
        <v>117</v>
      </c>
      <c r="E151" s="267"/>
      <c r="F151" s="268"/>
      <c r="G151" s="268"/>
      <c r="H151" s="268"/>
      <c r="I151" s="268"/>
      <c r="J151" s="267"/>
      <c r="K151" s="267"/>
      <c r="L151" s="267"/>
      <c r="M151" s="267"/>
      <c r="N151" s="267"/>
      <c r="O151" s="267"/>
      <c r="P151" s="267"/>
      <c r="Q151" s="267"/>
      <c r="R151" s="267"/>
      <c r="S151" s="62"/>
      <c r="T151" s="62"/>
      <c r="U151" s="62"/>
      <c r="V151" s="62"/>
      <c r="W151" s="62"/>
      <c r="X151" s="62"/>
      <c r="Y151" s="62"/>
      <c r="Z151" s="62"/>
      <c r="AA151" s="269"/>
      <c r="AB151" s="70"/>
      <c r="AC151" s="70"/>
      <c r="AD151" s="70"/>
      <c r="AE151" s="70"/>
      <c r="AF151" s="70"/>
      <c r="AG151" s="70"/>
      <c r="AH151" s="233"/>
      <c r="AI151" s="70"/>
      <c r="AJ151" s="70"/>
      <c r="AK151" s="70"/>
      <c r="AL151" s="70"/>
      <c r="AM151" s="258"/>
    </row>
    <row r="152" spans="1:39" ht="15.75" customHeight="1" x14ac:dyDescent="0.25"/>
    <row r="153" spans="1:39" ht="15.75" customHeight="1" x14ac:dyDescent="0.25"/>
    <row r="154" spans="1:39" ht="15.75" customHeight="1" x14ac:dyDescent="0.25"/>
    <row r="155" spans="1:39" ht="15.75" customHeight="1" x14ac:dyDescent="0.25"/>
    <row r="156" spans="1:39" ht="15.75" customHeight="1" x14ac:dyDescent="0.25"/>
    <row r="157" spans="1:39" ht="15.75" customHeight="1" x14ac:dyDescent="0.25"/>
    <row r="158" spans="1:39" ht="15.75" customHeight="1" x14ac:dyDescent="0.25"/>
    <row r="159" spans="1:39" ht="15.75" customHeight="1" x14ac:dyDescent="0.25"/>
    <row r="160" spans="1:39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9">
    <mergeCell ref="B130:B131"/>
    <mergeCell ref="C130:C131"/>
    <mergeCell ref="A126:A127"/>
    <mergeCell ref="B126:B127"/>
    <mergeCell ref="C126:C127"/>
    <mergeCell ref="A128:A129"/>
    <mergeCell ref="B128:B129"/>
    <mergeCell ref="C128:C129"/>
    <mergeCell ref="A130:A131"/>
    <mergeCell ref="B117:B118"/>
    <mergeCell ref="C117:C118"/>
    <mergeCell ref="A113:A114"/>
    <mergeCell ref="B113:B114"/>
    <mergeCell ref="C113:C114"/>
    <mergeCell ref="A115:A116"/>
    <mergeCell ref="B115:B116"/>
    <mergeCell ref="C115:C116"/>
    <mergeCell ref="A117:A118"/>
    <mergeCell ref="B111:B112"/>
    <mergeCell ref="C111:C112"/>
    <mergeCell ref="A107:A108"/>
    <mergeCell ref="B107:B108"/>
    <mergeCell ref="C107:C108"/>
    <mergeCell ref="A109:A110"/>
    <mergeCell ref="B109:B110"/>
    <mergeCell ref="C109:C110"/>
    <mergeCell ref="A111:A112"/>
    <mergeCell ref="B99:B100"/>
    <mergeCell ref="C99:C100"/>
    <mergeCell ref="A94:A95"/>
    <mergeCell ref="B94:B95"/>
    <mergeCell ref="C94:C95"/>
    <mergeCell ref="A97:A98"/>
    <mergeCell ref="B97:B98"/>
    <mergeCell ref="C97:C98"/>
    <mergeCell ref="A99:A100"/>
    <mergeCell ref="B92:B93"/>
    <mergeCell ref="C92:C93"/>
    <mergeCell ref="A88:A89"/>
    <mergeCell ref="B88:B89"/>
    <mergeCell ref="C88:C89"/>
    <mergeCell ref="A90:A91"/>
    <mergeCell ref="B90:B91"/>
    <mergeCell ref="C90:C91"/>
    <mergeCell ref="A92:A93"/>
    <mergeCell ref="B85:B86"/>
    <mergeCell ref="C85:C86"/>
    <mergeCell ref="A81:A82"/>
    <mergeCell ref="B81:B82"/>
    <mergeCell ref="C81:C82"/>
    <mergeCell ref="A83:A84"/>
    <mergeCell ref="B83:B84"/>
    <mergeCell ref="C83:C84"/>
    <mergeCell ref="A85:A86"/>
    <mergeCell ref="B73:B74"/>
    <mergeCell ref="C73:C74"/>
    <mergeCell ref="A68:A69"/>
    <mergeCell ref="B68:B69"/>
    <mergeCell ref="C68:C69"/>
    <mergeCell ref="A71:A72"/>
    <mergeCell ref="B71:B72"/>
    <mergeCell ref="C71:C72"/>
    <mergeCell ref="A73:A74"/>
    <mergeCell ref="B150:B151"/>
    <mergeCell ref="C150:C151"/>
    <mergeCell ref="A145:A146"/>
    <mergeCell ref="B145:B146"/>
    <mergeCell ref="C145:C146"/>
    <mergeCell ref="A148:A149"/>
    <mergeCell ref="B148:B149"/>
    <mergeCell ref="C148:C149"/>
    <mergeCell ref="A150:A151"/>
    <mergeCell ref="B23:B24"/>
    <mergeCell ref="C23:C24"/>
    <mergeCell ref="A18:A19"/>
    <mergeCell ref="B18:B19"/>
    <mergeCell ref="C18:C19"/>
    <mergeCell ref="A21:A22"/>
    <mergeCell ref="B21:B22"/>
    <mergeCell ref="C21:C22"/>
    <mergeCell ref="A23:A24"/>
    <mergeCell ref="B16:B17"/>
    <mergeCell ref="C16:C17"/>
    <mergeCell ref="A12:A13"/>
    <mergeCell ref="B12:B13"/>
    <mergeCell ref="C12:C13"/>
    <mergeCell ref="A14:A15"/>
    <mergeCell ref="B14:B15"/>
    <mergeCell ref="C14:C15"/>
    <mergeCell ref="A16:A17"/>
    <mergeCell ref="B10:B11"/>
    <mergeCell ref="C10:C11"/>
    <mergeCell ref="A6:A7"/>
    <mergeCell ref="B6:B7"/>
    <mergeCell ref="C6:C7"/>
    <mergeCell ref="A8:A9"/>
    <mergeCell ref="B8:B9"/>
    <mergeCell ref="C8:C9"/>
    <mergeCell ref="A10:A11"/>
    <mergeCell ref="B143:B144"/>
    <mergeCell ref="C143:C144"/>
    <mergeCell ref="A139:A140"/>
    <mergeCell ref="B139:B140"/>
    <mergeCell ref="C139:C140"/>
    <mergeCell ref="A141:A142"/>
    <mergeCell ref="B141:B142"/>
    <mergeCell ref="C141:C142"/>
    <mergeCell ref="A143:A144"/>
    <mergeCell ref="B136:B137"/>
    <mergeCell ref="C136:C137"/>
    <mergeCell ref="A132:A133"/>
    <mergeCell ref="B132:B133"/>
    <mergeCell ref="C132:C133"/>
    <mergeCell ref="A134:A135"/>
    <mergeCell ref="B134:B135"/>
    <mergeCell ref="C134:C135"/>
    <mergeCell ref="A136:A137"/>
    <mergeCell ref="B124:B125"/>
    <mergeCell ref="C124:C125"/>
    <mergeCell ref="A119:A120"/>
    <mergeCell ref="B119:B120"/>
    <mergeCell ref="C119:C120"/>
    <mergeCell ref="A122:A123"/>
    <mergeCell ref="B122:B123"/>
    <mergeCell ref="C122:C123"/>
    <mergeCell ref="A124:A125"/>
    <mergeCell ref="B79:B80"/>
    <mergeCell ref="C79:C80"/>
    <mergeCell ref="A75:A76"/>
    <mergeCell ref="B75:B76"/>
    <mergeCell ref="C75:C76"/>
    <mergeCell ref="A77:A78"/>
    <mergeCell ref="B77:B78"/>
    <mergeCell ref="C77:C78"/>
    <mergeCell ref="A79:A80"/>
    <mergeCell ref="B66:B67"/>
    <mergeCell ref="C66:C67"/>
    <mergeCell ref="A62:A63"/>
    <mergeCell ref="B62:B63"/>
    <mergeCell ref="C62:C63"/>
    <mergeCell ref="A64:A65"/>
    <mergeCell ref="B64:B65"/>
    <mergeCell ref="C64:C65"/>
    <mergeCell ref="A66:A67"/>
    <mergeCell ref="B60:B61"/>
    <mergeCell ref="C60:C61"/>
    <mergeCell ref="A56:A57"/>
    <mergeCell ref="B56:B57"/>
    <mergeCell ref="C56:C57"/>
    <mergeCell ref="A58:A59"/>
    <mergeCell ref="B58:B59"/>
    <mergeCell ref="C58:C59"/>
    <mergeCell ref="A60:A61"/>
    <mergeCell ref="B49:B50"/>
    <mergeCell ref="C49:C50"/>
    <mergeCell ref="A44:A45"/>
    <mergeCell ref="B44:B45"/>
    <mergeCell ref="C44:C45"/>
    <mergeCell ref="A47:A48"/>
    <mergeCell ref="B47:B48"/>
    <mergeCell ref="C47:C48"/>
    <mergeCell ref="A49:A50"/>
    <mergeCell ref="B42:B43"/>
    <mergeCell ref="C42:C43"/>
    <mergeCell ref="A38:A39"/>
    <mergeCell ref="B38:B39"/>
    <mergeCell ref="C38:C39"/>
    <mergeCell ref="A40:A41"/>
    <mergeCell ref="B40:B41"/>
    <mergeCell ref="C40:C41"/>
    <mergeCell ref="A42:A43"/>
    <mergeCell ref="B35:B36"/>
    <mergeCell ref="C35:C36"/>
    <mergeCell ref="A31:A32"/>
    <mergeCell ref="B31:B32"/>
    <mergeCell ref="C31:C32"/>
    <mergeCell ref="A33:A34"/>
    <mergeCell ref="B33:B34"/>
    <mergeCell ref="C33:C34"/>
    <mergeCell ref="A35:A36"/>
    <mergeCell ref="B29:B30"/>
    <mergeCell ref="C29:C30"/>
    <mergeCell ref="A25:A26"/>
    <mergeCell ref="B25:B26"/>
    <mergeCell ref="C25:C26"/>
    <mergeCell ref="A27:A28"/>
    <mergeCell ref="B27:B28"/>
    <mergeCell ref="C27:C28"/>
    <mergeCell ref="A29:A30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512</vt:i4>
      </vt:variant>
    </vt:vector>
  </HeadingPairs>
  <TitlesOfParts>
    <vt:vector size="517" baseType="lpstr">
      <vt:lpstr>Global</vt:lpstr>
      <vt:lpstr>World</vt:lpstr>
      <vt:lpstr>Quebec untouched</vt:lpstr>
      <vt:lpstr>Europe</vt:lpstr>
      <vt:lpstr>max extraction tables</vt:lpstr>
      <vt:lpstr>additional_land_available_biofuels</vt:lpstr>
      <vt:lpstr>Europe!adjust_energy_for_transport_to_inland_transport</vt:lpstr>
      <vt:lpstr>'Quebec untouched'!adjust_energy_for_transport_to_inland_transport</vt:lpstr>
      <vt:lpstr>World!adjust_energy_for_transport_to_inland_transport</vt:lpstr>
      <vt:lpstr>Europe!annual_shift_from_second_generation_to_third_generation</vt:lpstr>
      <vt:lpstr>'Quebec untouched'!annual_shift_from_second_generation_to_third_generation</vt:lpstr>
      <vt:lpstr>Europe!average_historic_primary_energy_supply_biogas</vt:lpstr>
      <vt:lpstr>'Quebec untouched'!average_historic_primary_energy_supply_biogas</vt:lpstr>
      <vt:lpstr>World!average_historic_primary_energy_supply_biogas</vt:lpstr>
      <vt:lpstr>Global!balancing_cost</vt:lpstr>
      <vt:lpstr>Europe!bioe_potential_npp_marginal_lands</vt:lpstr>
      <vt:lpstr>'Quebec untouched'!bioe_potential_npp_marginal_lands</vt:lpstr>
      <vt:lpstr>World!bioe_potential_npp_marginal_lands</vt:lpstr>
      <vt:lpstr>Europe!cell_efficiency_conversion_of_solar_pv</vt:lpstr>
      <vt:lpstr>'Quebec untouched'!cell_efficiency_conversion_of_solar_pv</vt:lpstr>
      <vt:lpstr>Global!construction_time_nuclear</vt:lpstr>
      <vt:lpstr>Global!construction_time_res_elec</vt:lpstr>
      <vt:lpstr>Global!conv_efficiency_from_npp_to_biofuels</vt:lpstr>
      <vt:lpstr>Europe!cp_initial_nuclear</vt:lpstr>
      <vt:lpstr>'Quebec untouched'!cp_initial_nuclear</vt:lpstr>
      <vt:lpstr>World!cp_initial_nuclear</vt:lpstr>
      <vt:lpstr>Europe!cp_initial_res_elec</vt:lpstr>
      <vt:lpstr>'Quebec untouched'!cp_initial_res_elec</vt:lpstr>
      <vt:lpstr>World!cp_initial_res_elec</vt:lpstr>
      <vt:lpstr>Europe!cp_initial_res_heat</vt:lpstr>
      <vt:lpstr>'Quebec untouched'!cp_initial_res_heat</vt:lpstr>
      <vt:lpstr>World!cp_initial_res_heat</vt:lpstr>
      <vt:lpstr>Europe!cp_phs</vt:lpstr>
      <vt:lpstr>'Quebec untouched'!cp_phs</vt:lpstr>
      <vt:lpstr>World!cp_phs</vt:lpstr>
      <vt:lpstr>Global!ctl_efficiency</vt:lpstr>
      <vt:lpstr>Europe!cumulative_coal_extraction_until_1995</vt:lpstr>
      <vt:lpstr>'Quebec untouched'!cumulative_coal_extraction_until_1995</vt:lpstr>
      <vt:lpstr>World!cumulative_coal_extraction_until_1995</vt:lpstr>
      <vt:lpstr>Europe!cumulative_conventional_gas_extraction_until_1995</vt:lpstr>
      <vt:lpstr>'Quebec untouched'!cumulative_conventional_gas_extraction_until_1995</vt:lpstr>
      <vt:lpstr>World!cumulative_conventional_gas_extraction_until_1995</vt:lpstr>
      <vt:lpstr>Europe!cumulative_conventional_oil_extraction_until_1995</vt:lpstr>
      <vt:lpstr>'Quebec untouched'!cumulative_conventional_oil_extraction_until_1995</vt:lpstr>
      <vt:lpstr>World!cumulative_conventional_oil_extraction_until_1995</vt:lpstr>
      <vt:lpstr>Europe!cumulative_unconventional_gas_extraction_until_1995</vt:lpstr>
      <vt:lpstr>'Quebec untouched'!cumulative_unconventional_gas_extraction_until_1995</vt:lpstr>
      <vt:lpstr>World!cumulative_unconventional_gas_extraction_until_1995</vt:lpstr>
      <vt:lpstr>Europe!cumulative_unconventional_oil_extraction_until_1995</vt:lpstr>
      <vt:lpstr>'Quebec untouched'!cumulative_unconventional_oil_extraction_until_1995</vt:lpstr>
      <vt:lpstr>World!cumulative_unconventional_oil_extraction_until_1995</vt:lpstr>
      <vt:lpstr>Europe!cumulative_uranium_extraction_until_1995</vt:lpstr>
      <vt:lpstr>'Quebec untouched'!cumulative_uranium_extraction_until_1995</vt:lpstr>
      <vt:lpstr>World!cumulative_uranium_extraction_until_1995</vt:lpstr>
      <vt:lpstr>Europe!delta_years</vt:lpstr>
      <vt:lpstr>'Quebec untouched'!delta_years</vt:lpstr>
      <vt:lpstr>World!delta_years</vt:lpstr>
      <vt:lpstr>Europe!efficiency_biogas_for_elec_in_chp_plants</vt:lpstr>
      <vt:lpstr>'Quebec untouched'!efficiency_biogas_for_elec_in_chp_plants</vt:lpstr>
      <vt:lpstr>World!efficiency_biogas_for_elec_in_chp_plants</vt:lpstr>
      <vt:lpstr>Europe!efficiency_biogas_for_elec_plants</vt:lpstr>
      <vt:lpstr>'Quebec untouched'!efficiency_biogas_for_elec_plants</vt:lpstr>
      <vt:lpstr>World!efficiency_biogas_for_elec_plants</vt:lpstr>
      <vt:lpstr>Europe!efficiency_biogas_for_heat_chp_plants</vt:lpstr>
      <vt:lpstr>'Quebec untouched'!efficiency_biogas_for_heat_chp_plants</vt:lpstr>
      <vt:lpstr>World!efficiency_biogas_for_heat_chp_plants</vt:lpstr>
      <vt:lpstr>Europe!efficiency_biogas_for_heat_plants</vt:lpstr>
      <vt:lpstr>'Quebec untouched'!efficiency_biogas_for_heat_plants</vt:lpstr>
      <vt:lpstr>World!efficiency_biogas_for_heat_plants</vt:lpstr>
      <vt:lpstr>Europe!efficiency_coal_for_electricity</vt:lpstr>
      <vt:lpstr>'Quebec untouched'!efficiency_coal_for_electricity</vt:lpstr>
      <vt:lpstr>World!efficiency_coal_for_electricity</vt:lpstr>
      <vt:lpstr>Global!efficiency_conversion_bioe_plants_to_heat</vt:lpstr>
      <vt:lpstr>Global!efficiency_conversion_bioe_to_elec</vt:lpstr>
      <vt:lpstr>Global!efficiency_conversion_geot_pe_to_elec</vt:lpstr>
      <vt:lpstr>Global!efficiency_gas_for_oil_refinery_gains</vt:lpstr>
      <vt:lpstr>Global!efficiency_geothermal_for_heat</vt:lpstr>
      <vt:lpstr>Global!efficiency_improv_gas_for_electricity</vt:lpstr>
      <vt:lpstr>Global!efficiency_improvement_biofuels_third_generation</vt:lpstr>
      <vt:lpstr>Europe!efficiency_liquids_for_electricity</vt:lpstr>
      <vt:lpstr>'Quebec untouched'!efficiency_liquids_for_electricity</vt:lpstr>
      <vt:lpstr>World!efficiency_liquids_for_electricity</vt:lpstr>
      <vt:lpstr>Europe!efficiency_solar_panels_for_heat</vt:lpstr>
      <vt:lpstr>'Quebec untouched'!efficiency_solar_panels_for_heat</vt:lpstr>
      <vt:lpstr>World!efficiency_solar_panels_for_heat</vt:lpstr>
      <vt:lpstr>Global!efficiency_uranium_for_electricity</vt:lpstr>
      <vt:lpstr>Europe!efficiency_waste_for_elec_chp_plants</vt:lpstr>
      <vt:lpstr>'Quebec untouched'!efficiency_waste_for_elec_chp_plants</vt:lpstr>
      <vt:lpstr>World!efficiency_waste_for_elec_chp_plants</vt:lpstr>
      <vt:lpstr>Europe!efficiency_waste_for_elec_plants</vt:lpstr>
      <vt:lpstr>'Quebec untouched'!efficiency_waste_for_elec_plants</vt:lpstr>
      <vt:lpstr>World!efficiency_waste_for_elec_plants</vt:lpstr>
      <vt:lpstr>Europe!efficiency_waste_for_heat_CHP_plants</vt:lpstr>
      <vt:lpstr>'Quebec untouched'!efficiency_waste_for_heat_CHP_plants</vt:lpstr>
      <vt:lpstr>World!efficiency_waste_for_heat_CHP_plants</vt:lpstr>
      <vt:lpstr>Europe!efficiency_waste_for_heat_plants</vt:lpstr>
      <vt:lpstr>'Quebec untouched'!efficiency_waste_for_heat_plants</vt:lpstr>
      <vt:lpstr>World!efficiency_waste_for_heat_plants</vt:lpstr>
      <vt:lpstr>Europe!end_hist_data</vt:lpstr>
      <vt:lpstr>'Quebec untouched'!end_hist_data</vt:lpstr>
      <vt:lpstr>World!end_hist_data</vt:lpstr>
      <vt:lpstr>Global!eroi_initial_res_elec_dispatch</vt:lpstr>
      <vt:lpstr>Global!esoi_phs_depleted_potential</vt:lpstr>
      <vt:lpstr>Europe!geot_PE_potential_heat</vt:lpstr>
      <vt:lpstr>'Quebec untouched'!geot_PE_potential_heat</vt:lpstr>
      <vt:lpstr>Global!grid_reinforcement_costs</vt:lpstr>
      <vt:lpstr>Global!gtl_efficiency</vt:lpstr>
      <vt:lpstr>Europe!historic_average_domestic_uranium_extraction</vt:lpstr>
      <vt:lpstr>'Quebec untouched'!historic_average_domestic_uranium_extraction</vt:lpstr>
      <vt:lpstr>Europe!historic_average_pes_from_waste_growth</vt:lpstr>
      <vt:lpstr>'Quebec untouched'!historic_average_pes_from_waste_growth</vt:lpstr>
      <vt:lpstr>World!historic_average_pes_from_waste_growth</vt:lpstr>
      <vt:lpstr>Europe!historic_ctl_production</vt:lpstr>
      <vt:lpstr>'Quebec untouched'!historic_ctl_production</vt:lpstr>
      <vt:lpstr>World!historic_ctl_production</vt:lpstr>
      <vt:lpstr>Europe!historic_domestic_coal_extraction</vt:lpstr>
      <vt:lpstr>'Quebec untouched'!historic_domestic_coal_extraction</vt:lpstr>
      <vt:lpstr>Europe!historic_domestic_conventional_oil_extraction</vt:lpstr>
      <vt:lpstr>'Quebec untouched'!historic_domestic_conventional_oil_extraction</vt:lpstr>
      <vt:lpstr>Europe!historic_domestic_natural_gas_extraction</vt:lpstr>
      <vt:lpstr>'Quebec untouched'!historic_domestic_natural_gas_extraction</vt:lpstr>
      <vt:lpstr>Europe!historic_domestic_unconventional_natural_gas_extraction</vt:lpstr>
      <vt:lpstr>'Quebec untouched'!historic_domestic_unconventional_natural_gas_extraction</vt:lpstr>
      <vt:lpstr>Europe!historic_domestic_unconventional_oil_extraction</vt:lpstr>
      <vt:lpstr>'Quebec untouched'!historic_domestic_unconventional_oil_extraction</vt:lpstr>
      <vt:lpstr>Europe!historic_domestic_uranium_extraction</vt:lpstr>
      <vt:lpstr>'Quebec untouched'!historic_domestic_uranium_extraction</vt:lpstr>
      <vt:lpstr>Europe!historic_efficiency_coal_heat_plants</vt:lpstr>
      <vt:lpstr>'Quebec untouched'!historic_efficiency_coal_heat_plants</vt:lpstr>
      <vt:lpstr>World!historic_efficiency_coal_heat_plants</vt:lpstr>
      <vt:lpstr>Europe!historic_efficiency_electricity_coal_chp_plants</vt:lpstr>
      <vt:lpstr>'Quebec untouched'!historic_efficiency_electricity_coal_chp_plants</vt:lpstr>
      <vt:lpstr>World!historic_efficiency_electricity_coal_chp_plants</vt:lpstr>
      <vt:lpstr>Europe!historic_efficiency_electricity_gas_chp_plants</vt:lpstr>
      <vt:lpstr>'Quebec untouched'!historic_efficiency_electricity_gas_chp_plants</vt:lpstr>
      <vt:lpstr>World!historic_efficiency_electricity_gas_chp_plants</vt:lpstr>
      <vt:lpstr>Europe!historic_efficiency_electricity_liquids_chp_plants</vt:lpstr>
      <vt:lpstr>'Quebec untouched'!historic_efficiency_electricity_liquids_chp_plants</vt:lpstr>
      <vt:lpstr>World!historic_efficiency_electricity_liquids_chp_plants</vt:lpstr>
      <vt:lpstr>Europe!historic_efficiency_gas_for_electricity</vt:lpstr>
      <vt:lpstr>'Quebec untouched'!historic_efficiency_gas_for_electricity</vt:lpstr>
      <vt:lpstr>World!historic_efficiency_gas_for_electricity</vt:lpstr>
      <vt:lpstr>Europe!historic_efficiency_gases_for_heat_plants</vt:lpstr>
      <vt:lpstr>'Quebec untouched'!historic_efficiency_gases_for_heat_plants</vt:lpstr>
      <vt:lpstr>World!historic_efficiency_gases_for_heat_plants</vt:lpstr>
      <vt:lpstr>Europe!historic_efficiency_heat_coal_chp_plants</vt:lpstr>
      <vt:lpstr>'Quebec untouched'!historic_efficiency_heat_coal_chp_plants</vt:lpstr>
      <vt:lpstr>World!historic_efficiency_heat_coal_chp_plants</vt:lpstr>
      <vt:lpstr>Europe!historic_efficiency_heat_gas_chp_plants</vt:lpstr>
      <vt:lpstr>'Quebec untouched'!historic_efficiency_heat_gas_chp_plants</vt:lpstr>
      <vt:lpstr>World!historic_efficiency_heat_gas_chp_plants</vt:lpstr>
      <vt:lpstr>Europe!historic_efficiency_heat_liquids_chp_plants</vt:lpstr>
      <vt:lpstr>'Quebec untouched'!historic_efficiency_heat_liquids_chp_plants</vt:lpstr>
      <vt:lpstr>World!historic_efficiency_heat_liquids_chp_plants</vt:lpstr>
      <vt:lpstr>Europe!historic_efficiency_liquids_heat_plants</vt:lpstr>
      <vt:lpstr>'Quebec untouched'!historic_efficiency_liquids_heat_plants</vt:lpstr>
      <vt:lpstr>World!historic_efficiency_liquids_heat_plants</vt:lpstr>
      <vt:lpstr>Europe!historic_energy_industry_own_use</vt:lpstr>
      <vt:lpstr>'Quebec untouched'!historic_energy_industry_own_use</vt:lpstr>
      <vt:lpstr>World!historic_energy_industry_own_use</vt:lpstr>
      <vt:lpstr>Europe!historic_growth_biofuels_second_generation</vt:lpstr>
      <vt:lpstr>'Quebec untouched'!historic_growth_biofuels_second_generation</vt:lpstr>
      <vt:lpstr>World!historic_growth_biofuels_second_generation</vt:lpstr>
      <vt:lpstr>Europe!historic_growth_ctl</vt:lpstr>
      <vt:lpstr>'Quebec untouched'!historic_growth_ctl</vt:lpstr>
      <vt:lpstr>World!historic_growth_ctl</vt:lpstr>
      <vt:lpstr>Europe!historic_growth_gtl</vt:lpstr>
      <vt:lpstr>'Quebec untouched'!historic_growth_gtl</vt:lpstr>
      <vt:lpstr>World!historic_growth_gtl</vt:lpstr>
      <vt:lpstr>Europe!historic_growth_phs_capacity</vt:lpstr>
      <vt:lpstr>'Quebec untouched'!historic_growth_phs_capacity</vt:lpstr>
      <vt:lpstr>World!historic_growth_phs_capacity</vt:lpstr>
      <vt:lpstr>Europe!historic_growth_res_for_electricity</vt:lpstr>
      <vt:lpstr>'Quebec untouched'!historic_growth_res_for_electricity</vt:lpstr>
      <vt:lpstr>World!historic_growth_res_for_electricity</vt:lpstr>
      <vt:lpstr>Europe!historic_growth_res_for_heat_com</vt:lpstr>
      <vt:lpstr>'Quebec untouched'!historic_growth_res_for_heat_com</vt:lpstr>
      <vt:lpstr>World!historic_growth_res_for_heat_com</vt:lpstr>
      <vt:lpstr>Europe!historic_growth_res_for_heat_nc</vt:lpstr>
      <vt:lpstr>'Quebec untouched'!historic_growth_res_for_heat_nc</vt:lpstr>
      <vt:lpstr>World!historic_growth_res_for_heat_nc</vt:lpstr>
      <vt:lpstr>Europe!historic_gtl_production</vt:lpstr>
      <vt:lpstr>'Quebec untouched'!historic_gtl_production</vt:lpstr>
      <vt:lpstr>World!historic_gtl_production</vt:lpstr>
      <vt:lpstr>Europe!historic_installed_capacity_phs</vt:lpstr>
      <vt:lpstr>'Quebec untouched'!historic_installed_capacity_phs</vt:lpstr>
      <vt:lpstr>World!historic_installed_capacity_phs</vt:lpstr>
      <vt:lpstr>Europe!historic_installed_capacity_res_for_electricity</vt:lpstr>
      <vt:lpstr>'Quebec untouched'!historic_installed_capacity_res_for_electricity</vt:lpstr>
      <vt:lpstr>World!historic_installed_capacity_res_for_electricity</vt:lpstr>
      <vt:lpstr>Europe!historic_losses_charcoal_plants</vt:lpstr>
      <vt:lpstr>'Quebec untouched'!historic_losses_charcoal_plants</vt:lpstr>
      <vt:lpstr>World!historic_losses_charcoal_plants</vt:lpstr>
      <vt:lpstr>Europe!historic_non_energy_use</vt:lpstr>
      <vt:lpstr>'Quebec untouched'!historic_non_energy_use</vt:lpstr>
      <vt:lpstr>World!historic_non_energy_use</vt:lpstr>
      <vt:lpstr>Europe!historic_nuclear_generation</vt:lpstr>
      <vt:lpstr>'Quebec untouched'!historic_nuclear_generation</vt:lpstr>
      <vt:lpstr>World!historic_nuclear_generation</vt:lpstr>
      <vt:lpstr>Europe!historic_pipeline_transport</vt:lpstr>
      <vt:lpstr>'Quebec untouched'!historic_pipeline_transport</vt:lpstr>
      <vt:lpstr>Europe!historic_primary_energy_supply_biogas</vt:lpstr>
      <vt:lpstr>'Quebec untouched'!historic_primary_energy_supply_biogas</vt:lpstr>
      <vt:lpstr>World!historic_primary_energy_supply_biogas</vt:lpstr>
      <vt:lpstr>Europe!historic_primary_energy_supply_of_waste</vt:lpstr>
      <vt:lpstr>'Quebec untouched'!historic_primary_energy_supply_of_waste</vt:lpstr>
      <vt:lpstr>World!historic_primary_energy_supply_of_waste</vt:lpstr>
      <vt:lpstr>Europe!historic_primary_energy_supply_peat</vt:lpstr>
      <vt:lpstr>'Quebec untouched'!historic_primary_energy_supply_peat</vt:lpstr>
      <vt:lpstr>World!historic_primary_energy_supply_peat</vt:lpstr>
      <vt:lpstr>Europe!historic_production_of_second_generation_biofuels</vt:lpstr>
      <vt:lpstr>'Quebec untouched'!historic_production_of_second_generation_biofuels</vt:lpstr>
      <vt:lpstr>World!historic_production_of_second_generation_biofuels</vt:lpstr>
      <vt:lpstr>Europe!historic_res_capacity_for_heat_commercial</vt:lpstr>
      <vt:lpstr>'Quebec untouched'!historic_res_capacity_for_heat_commercial</vt:lpstr>
      <vt:lpstr>World!historic_res_capacity_for_heat_commercial</vt:lpstr>
      <vt:lpstr>Europe!historic_res_capacity_for_heat_non_commercial</vt:lpstr>
      <vt:lpstr>'Quebec untouched'!historic_res_capacity_for_heat_non_commercial</vt:lpstr>
      <vt:lpstr>World!historic_res_capacity_for_heat_non_commercial</vt:lpstr>
      <vt:lpstr>Europe!historic_share_chp_plants_gas</vt:lpstr>
      <vt:lpstr>'Quebec untouched'!historic_share_chp_plants_gas</vt:lpstr>
      <vt:lpstr>World!historic_share_chp_plants_gas</vt:lpstr>
      <vt:lpstr>Europe!historic_share_chp_plants_oil</vt:lpstr>
      <vt:lpstr>'Quebec untouched'!historic_share_chp_plants_oil</vt:lpstr>
      <vt:lpstr>World!historic_share_chp_plants_oil</vt:lpstr>
      <vt:lpstr>Europe!historic_share_commercial_heat_in_chp_on_total_commercial_heat_generation</vt:lpstr>
      <vt:lpstr>'Quebec untouched'!historic_share_commercial_heat_in_chp_on_total_commercial_heat_generation</vt:lpstr>
      <vt:lpstr>World!historic_share_commercial_heat_in_chp_on_total_commercial_heat_generation</vt:lpstr>
      <vt:lpstr>Europe!historic_share_losses_over_total_extraction_gases</vt:lpstr>
      <vt:lpstr>'Quebec untouched'!historic_share_losses_over_total_extraction_gases</vt:lpstr>
      <vt:lpstr>World!historic_share_losses_over_total_extraction_gases</vt:lpstr>
      <vt:lpstr>Europe!historic_share_losses_over_total_extraction_liquids</vt:lpstr>
      <vt:lpstr>'Quebec untouched'!historic_share_losses_over_total_extraction_liquids</vt:lpstr>
      <vt:lpstr>World!historic_share_losses_over_total_extraction_liquids</vt:lpstr>
      <vt:lpstr>Europe!historic_share_losses_over_total_extraction_solids</vt:lpstr>
      <vt:lpstr>'Quebec untouched'!historic_share_losses_over_total_extraction_solids</vt:lpstr>
      <vt:lpstr>World!historic_share_losses_over_total_extraction_solids</vt:lpstr>
      <vt:lpstr>Europe!historic_share_of_electricity_produced_from_gas_over_electricity_produced_coal_and_gas</vt:lpstr>
      <vt:lpstr>'Quebec untouched'!historic_share_of_electricity_produced_from_gas_over_electricity_produced_coal_and_gas</vt:lpstr>
      <vt:lpstr>World!historic_share_of_electricity_produced_from_gas_over_electricity_produced_coal_and_gas</vt:lpstr>
      <vt:lpstr>Europe!historic_share_of_electricity_produced_from_oil_over_total_fossil_electricity</vt:lpstr>
      <vt:lpstr>'Quebec untouched'!historic_share_of_electricity_produced_from_oil_over_total_fossil_electricity</vt:lpstr>
      <vt:lpstr>World!historic_share_of_electricity_produced_from_oil_over_total_fossil_electricity</vt:lpstr>
      <vt:lpstr>Europe!historic_share_of_heat_produced_from_gas_over_electricity_produced_coal_and_gas</vt:lpstr>
      <vt:lpstr>'Quebec untouched'!historic_share_of_heat_produced_from_gas_over_electricity_produced_coal_and_gas</vt:lpstr>
      <vt:lpstr>World!historic_share_of_heat_produced_from_gas_over_electricity_produced_coal_and_gas</vt:lpstr>
      <vt:lpstr>Europe!historic_share_of_liquids_in_heat_plants</vt:lpstr>
      <vt:lpstr>'Quebec untouched'!historic_share_of_liquids_in_heat_plants</vt:lpstr>
      <vt:lpstr>World!historic_share_of_liquids_in_heat_plants</vt:lpstr>
      <vt:lpstr>Europe!historic_share_of_transformation_losses_over_total_extraction_liquids</vt:lpstr>
      <vt:lpstr>'Quebec untouched'!historic_share_of_transformation_losses_over_total_extraction_liquids</vt:lpstr>
      <vt:lpstr>World!historic_share_of_transformation_losses_over_total_extraction_liquids</vt:lpstr>
      <vt:lpstr>Europe!historic_share_of_transformation_losses_over_total_extraction_solids</vt:lpstr>
      <vt:lpstr>'Quebec untouched'!historic_share_of_transformation_losses_over_total_extraction_solids</vt:lpstr>
      <vt:lpstr>World!historic_share_of_transformation_losses_over_total_extraction_solids</vt:lpstr>
      <vt:lpstr>Europe!historic_share_of_urban_pv_over_total</vt:lpstr>
      <vt:lpstr>'Quebec untouched'!historic_share_of_urban_pv_over_total</vt:lpstr>
      <vt:lpstr>Europe!historic_unconventional_gas_extraction</vt:lpstr>
      <vt:lpstr>'Quebec untouched'!historic_unconventional_gas_extraction</vt:lpstr>
      <vt:lpstr>World!historic_unconventional_gas_extraction</vt:lpstr>
      <vt:lpstr>Europe!historic_unconventional_oil_extraction</vt:lpstr>
      <vt:lpstr>'Quebec untouched'!historic_unconventional_oil_extraction</vt:lpstr>
      <vt:lpstr>World!historic_unconventional_oil_extraction</vt:lpstr>
      <vt:lpstr>Europe!initial_ctl_production</vt:lpstr>
      <vt:lpstr>'Quebec untouched'!initial_ctl_production</vt:lpstr>
      <vt:lpstr>World!initial_ctl_production</vt:lpstr>
      <vt:lpstr>Europe!initial_efficiency_gas_for_electricity</vt:lpstr>
      <vt:lpstr>'Quebec untouched'!initial_efficiency_gas_for_electricity</vt:lpstr>
      <vt:lpstr>World!initial_efficiency_gas_for_electricity</vt:lpstr>
      <vt:lpstr>Europe!initial_gtl_production</vt:lpstr>
      <vt:lpstr>'Quebec untouched'!initial_gtl_production</vt:lpstr>
      <vt:lpstr>World!initial_gtl_production</vt:lpstr>
      <vt:lpstr>Europe!initial_installed_capacity_phs</vt:lpstr>
      <vt:lpstr>'Quebec untouched'!initial_installed_capacity_phs</vt:lpstr>
      <vt:lpstr>World!initial_installed_capacity_phs</vt:lpstr>
      <vt:lpstr>Europe!initial_installed_capacity_res_for_electricity</vt:lpstr>
      <vt:lpstr>'Quebec untouched'!initial_installed_capacity_res_for_electricity</vt:lpstr>
      <vt:lpstr>World!initial_installed_capacity_res_for_electricity</vt:lpstr>
      <vt:lpstr>Europe!initial_non_energy_use</vt:lpstr>
      <vt:lpstr>'Quebec untouched'!initial_non_energy_use</vt:lpstr>
      <vt:lpstr>World!initial_non_energy_use</vt:lpstr>
      <vt:lpstr>Europe!initial_nuclear_generation</vt:lpstr>
      <vt:lpstr>'Quebec untouched'!initial_nuclear_generation</vt:lpstr>
      <vt:lpstr>World!initial_nuclear_generation</vt:lpstr>
      <vt:lpstr>Europe!initial_primary_energy_supply_from_waste</vt:lpstr>
      <vt:lpstr>'Quebec untouched'!initial_primary_energy_supply_from_waste</vt:lpstr>
      <vt:lpstr>World!initial_primary_energy_supply_from_waste</vt:lpstr>
      <vt:lpstr>Europe!initial_production_of_second_generation_biofuels</vt:lpstr>
      <vt:lpstr>'Quebec untouched'!initial_production_of_second_generation_biofuels</vt:lpstr>
      <vt:lpstr>World!initial_production_of_second_generation_biofuels</vt:lpstr>
      <vt:lpstr>Europe!initial_res_capacity_for_heat_commercial</vt:lpstr>
      <vt:lpstr>'Quebec untouched'!initial_res_capacity_for_heat_commercial</vt:lpstr>
      <vt:lpstr>World!initial_res_capacity_for_heat_commercial</vt:lpstr>
      <vt:lpstr>Europe!initial_res_capacity_for_heat_non_commercial</vt:lpstr>
      <vt:lpstr>'Quebec untouched'!initial_res_capacity_for_heat_non_commercial</vt:lpstr>
      <vt:lpstr>World!initial_res_capacity_for_heat_non_commercial</vt:lpstr>
      <vt:lpstr>Global!invest_cost_nuclear</vt:lpstr>
      <vt:lpstr>Global!invest_cost_res_elec</vt:lpstr>
      <vt:lpstr>Global!kw_per_battery_ev</vt:lpstr>
      <vt:lpstr>Global!land_occupation_ratio_biofuels_marginal_land</vt:lpstr>
      <vt:lpstr>Europe!land_occupation_ratio_of_solar_pv</vt:lpstr>
      <vt:lpstr>'Quebec untouched'!land_occupation_ratio_of_solar_pv</vt:lpstr>
      <vt:lpstr>Global!land_productivity_biofuels_marginal_land</vt:lpstr>
      <vt:lpstr>Global!land_productivity_biofuels_second_generation</vt:lpstr>
      <vt:lpstr>Global!lifetime_ctl</vt:lpstr>
      <vt:lpstr>Global!lifetime_gtl</vt:lpstr>
      <vt:lpstr>Global!lifetime_nuclear</vt:lpstr>
      <vt:lpstr>Global!lifetime_res_elec</vt:lpstr>
      <vt:lpstr>Global!lifetime_res_for_heat</vt:lpstr>
      <vt:lpstr>Global!losses_solar_for_heat</vt:lpstr>
      <vt:lpstr>World!max_biogases_potential</vt:lpstr>
      <vt:lpstr>Europe!max_extraction_agg_gas</vt:lpstr>
      <vt:lpstr>'Quebec untouched'!max_extraction_agg_gas</vt:lpstr>
      <vt:lpstr>World!max_extraction_agg_gas</vt:lpstr>
      <vt:lpstr>Europe!max_extraction_agg_oil</vt:lpstr>
      <vt:lpstr>'Quebec untouched'!max_extraction_agg_oil</vt:lpstr>
      <vt:lpstr>World!max_extraction_agg_oil</vt:lpstr>
      <vt:lpstr>Europe!max_extraction_coal</vt:lpstr>
      <vt:lpstr>'Quebec untouched'!max_extraction_coal</vt:lpstr>
      <vt:lpstr>World!max_extraction_coal</vt:lpstr>
      <vt:lpstr>Europe!max_extraction_conv_gas</vt:lpstr>
      <vt:lpstr>'Quebec untouched'!max_extraction_conv_gas</vt:lpstr>
      <vt:lpstr>World!max_extraction_conv_gas</vt:lpstr>
      <vt:lpstr>Europe!max_extraction_conv_oil</vt:lpstr>
      <vt:lpstr>'Quebec untouched'!max_extraction_conv_oil</vt:lpstr>
      <vt:lpstr>World!max_extraction_conv_oil</vt:lpstr>
      <vt:lpstr>Europe!max_extraction_unconv_gas</vt:lpstr>
      <vt:lpstr>'Quebec untouched'!max_extraction_unconv_gas</vt:lpstr>
      <vt:lpstr>World!max_extraction_unconv_gas</vt:lpstr>
      <vt:lpstr>Europe!max_extraction_unconv_oil</vt:lpstr>
      <vt:lpstr>'Quebec untouched'!max_extraction_unconv_oil</vt:lpstr>
      <vt:lpstr>World!max_extraction_unconv_oil</vt:lpstr>
      <vt:lpstr>Europe!max_extraction_uranium</vt:lpstr>
      <vt:lpstr>'Quebec untouched'!max_extraction_uranium</vt:lpstr>
      <vt:lpstr>World!max_extraction_uranium</vt:lpstr>
      <vt:lpstr>Europe!max_hydro_potential</vt:lpstr>
      <vt:lpstr>'Quebec untouched'!max_hydro_potential</vt:lpstr>
      <vt:lpstr>World!max_hydro_potential</vt:lpstr>
      <vt:lpstr>Europe!max_NPP_pot_bioe_res</vt:lpstr>
      <vt:lpstr>'Quebec untouched'!max_NPP_pot_bioe_res</vt:lpstr>
      <vt:lpstr>World!max_NPP_pot_bioe_res</vt:lpstr>
      <vt:lpstr>Europe!max_oceanic_potential</vt:lpstr>
      <vt:lpstr>'Quebec untouched'!max_oceanic_potential</vt:lpstr>
      <vt:lpstr>World!max_oceanic_potential</vt:lpstr>
      <vt:lpstr>Europe!max_offshore_wind_potential</vt:lpstr>
      <vt:lpstr>'Quebec untouched'!max_offshore_wind_potential</vt:lpstr>
      <vt:lpstr>World!max_offshore_wind_potential</vt:lpstr>
      <vt:lpstr>Europe!max_onshore_wind_potential</vt:lpstr>
      <vt:lpstr>'Quebec untouched'!max_onshore_wind_potential</vt:lpstr>
      <vt:lpstr>World!max_onshore_wind_potential</vt:lpstr>
      <vt:lpstr>Europe!max_PE_biogas</vt:lpstr>
      <vt:lpstr>'Quebec untouched'!max_PE_biogas</vt:lpstr>
      <vt:lpstr>Europe!max_PE_geot_elec_potential</vt:lpstr>
      <vt:lpstr>'Quebec untouched'!max_PE_geot_elec_potential</vt:lpstr>
      <vt:lpstr>World!max_PE_geot_elect_potential</vt:lpstr>
      <vt:lpstr>'Quebec untouched'!max_PE_waste</vt:lpstr>
      <vt:lpstr>Europe!max_PHS_potential</vt:lpstr>
      <vt:lpstr>'Quebec untouched'!max_PHS_potential</vt:lpstr>
      <vt:lpstr>World!max_PHS_potential</vt:lpstr>
      <vt:lpstr>Europe!max_pot_NPP_bioe_conv</vt:lpstr>
      <vt:lpstr>'Quebec untouched'!max_pot_NPP_bioe_conv</vt:lpstr>
      <vt:lpstr>World!max_pot_NPP_bioe_conv</vt:lpstr>
      <vt:lpstr>'Quebec untouched'!max_solar_on_land_potential</vt:lpstr>
      <vt:lpstr>World!max_solar_on_land_potential</vt:lpstr>
      <vt:lpstr>World!max_waste_potential</vt:lpstr>
      <vt:lpstr>Europe!max_yearly_change_between_sources</vt:lpstr>
      <vt:lpstr>'Quebec untouched'!max_yearly_change_between_sources</vt:lpstr>
      <vt:lpstr>World!max_yearly_change_between_sources</vt:lpstr>
      <vt:lpstr>Global!maximum_efficiency_gas_power_plant</vt:lpstr>
      <vt:lpstr>Europe!maximum_yearly_acceleration_of_intensity_improvement</vt:lpstr>
      <vt:lpstr>'Quebec untouched'!maximum_yearly_acceleration_of_intensity_improvement</vt:lpstr>
      <vt:lpstr>World!maximum_yearly_acceleration_of_intensity_improvement</vt:lpstr>
      <vt:lpstr>Europe!minimum_cp_baseload_res</vt:lpstr>
      <vt:lpstr>'Quebec untouched'!minimum_cp_baseload_res</vt:lpstr>
      <vt:lpstr>World!minimum_cp_baseload_res</vt:lpstr>
      <vt:lpstr>Europe!minimum_cp_nuclear</vt:lpstr>
      <vt:lpstr>'Quebec untouched'!minimum_cp_nuclear</vt:lpstr>
      <vt:lpstr>World!minimum_cp_nuclear</vt:lpstr>
      <vt:lpstr>Europe!minimum_fraction_source</vt:lpstr>
      <vt:lpstr>'Quebec untouched'!minimum_fraction_source</vt:lpstr>
      <vt:lpstr>World!minimum_fraction_source</vt:lpstr>
      <vt:lpstr>Global!minimum_lifetime_ev_batteries</vt:lpstr>
      <vt:lpstr>Global!net_stored_energy_ev_battery_over_lifetime</vt:lpstr>
      <vt:lpstr>Global!oil_refinery_gains_share</vt:lpstr>
      <vt:lpstr>Europe!pe_consumption_trad_biomass_ref</vt:lpstr>
      <vt:lpstr>'Quebec untouched'!pe_consumption_trad_biomass_ref</vt:lpstr>
      <vt:lpstr>World!pe_consumption_trad_biomass_ref</vt:lpstr>
      <vt:lpstr>Europe!performance_ratio_over_the_plant_lifecycle_of_solar_pv</vt:lpstr>
      <vt:lpstr>'Quebec untouched'!performance_ratio_over_the_plant_lifecycle_of_solar_pv</vt:lpstr>
      <vt:lpstr>Global!planning_time_nuclear</vt:lpstr>
      <vt:lpstr>Global!planning_time_res_elec</vt:lpstr>
      <vt:lpstr>Global!power_density_res_elec</vt:lpstr>
      <vt:lpstr>Europe!ratio_gain_gas_vs_losses_solids_in_tranformation_processes</vt:lpstr>
      <vt:lpstr>'Quebec untouched'!ratio_gain_gas_vs_losses_solids_in_tranformation_processes</vt:lpstr>
      <vt:lpstr>World!ratio_gain_gas_vs_losses_solids_in_tranformation_processes</vt:lpstr>
      <vt:lpstr>Global!replacement_rate_nuclear</vt:lpstr>
      <vt:lpstr>Global!replacement_rate_res_for_heat</vt:lpstr>
      <vt:lpstr>Global!round_trip_storage_efficiency_ev_batteries</vt:lpstr>
      <vt:lpstr>Global!round_trip_storage_efficiency_phs</vt:lpstr>
      <vt:lpstr>Europe!RURR_agg_gas</vt:lpstr>
      <vt:lpstr>'Quebec untouched'!RURR_agg_gas</vt:lpstr>
      <vt:lpstr>World!RURR_agg_gas</vt:lpstr>
      <vt:lpstr>Europe!RURR_agg_oil</vt:lpstr>
      <vt:lpstr>'Quebec untouched'!RURR_agg_oil</vt:lpstr>
      <vt:lpstr>World!RURR_agg_oil</vt:lpstr>
      <vt:lpstr>Europe!RURR_coal</vt:lpstr>
      <vt:lpstr>'Quebec untouched'!RURR_coal</vt:lpstr>
      <vt:lpstr>World!RURR_coal</vt:lpstr>
      <vt:lpstr>Europe!RURR_conv_gas</vt:lpstr>
      <vt:lpstr>'Quebec untouched'!RURR_conv_gas</vt:lpstr>
      <vt:lpstr>World!RURR_conv_gas</vt:lpstr>
      <vt:lpstr>Europe!RURR_conv_oil</vt:lpstr>
      <vt:lpstr>'Quebec untouched'!RURR_conv_oil</vt:lpstr>
      <vt:lpstr>World!RURR_conv_oil</vt:lpstr>
      <vt:lpstr>Europe!RURR_unconv_gas</vt:lpstr>
      <vt:lpstr>'Quebec untouched'!RURR_unconv_gas</vt:lpstr>
      <vt:lpstr>World!RURR_unconv_gas</vt:lpstr>
      <vt:lpstr>Europe!RURR_unconv_oil</vt:lpstr>
      <vt:lpstr>'Quebec untouched'!RURR_unconv_oil</vt:lpstr>
      <vt:lpstr>World!RURR_unconv_oil</vt:lpstr>
      <vt:lpstr>Europe!RURR_uranium</vt:lpstr>
      <vt:lpstr>'Quebec untouched'!RURR_uranium</vt:lpstr>
      <vt:lpstr>World!RURR_uranium</vt:lpstr>
      <vt:lpstr>Global!sensitivity_scarcity_high</vt:lpstr>
      <vt:lpstr>Global!sensitivity_scarcity_low</vt:lpstr>
      <vt:lpstr>Global!sensitivity_scarcity_medium</vt:lpstr>
      <vt:lpstr>Europe!share_feh_over_fed_coal</vt:lpstr>
      <vt:lpstr>'Quebec untouched'!share_feh_over_fed_coal</vt:lpstr>
      <vt:lpstr>World!share_feh_over_fed_coal</vt:lpstr>
      <vt:lpstr>Europe!share_feh_over_fed_nat_gas</vt:lpstr>
      <vt:lpstr>'Quebec untouched'!share_feh_over_fed_nat_gas</vt:lpstr>
      <vt:lpstr>World!share_feh_over_fed_nat_gas</vt:lpstr>
      <vt:lpstr>Europe!share_feh_over_fed_oil</vt:lpstr>
      <vt:lpstr>'Quebec untouched'!share_feh_over_fed_oil</vt:lpstr>
      <vt:lpstr>World!share_feh_over_fed_oil</vt:lpstr>
      <vt:lpstr>Europe!share_feh_over_fed_solids_bioe</vt:lpstr>
      <vt:lpstr>'Quebec untouched'!share_feh_over_fed_solids_bioe</vt:lpstr>
      <vt:lpstr>World!share_feh_over_fed_solids_bioe</vt:lpstr>
      <vt:lpstr>Global!share_heat_distribution_losses</vt:lpstr>
      <vt:lpstr>Europe!share_heat_output_vs_electricity_in_nuclear</vt:lpstr>
      <vt:lpstr>'Quebec untouched'!share_heat_output_vs_electricity_in_nuclear</vt:lpstr>
      <vt:lpstr>World!share_heat_output_vs_electricity_in_nuclear</vt:lpstr>
      <vt:lpstr>Europe!share_of_electricity_produced_from_gas_over_electricity_produced_coal_and_gas_2014</vt:lpstr>
      <vt:lpstr>'Quebec untouched'!share_of_electricity_produced_from_gas_over_electricity_produced_coal_and_gas_2014</vt:lpstr>
      <vt:lpstr>World!share_of_electricity_produced_from_gas_over_electricity_produced_coal_and_gas_2014</vt:lpstr>
      <vt:lpstr>Europe!share_of_electricity_produced_from_oil_over_total_fossil_electricity_2015</vt:lpstr>
      <vt:lpstr>'Quebec untouched'!share_of_electricity_produced_from_oil_over_total_fossil_electricity_2015</vt:lpstr>
      <vt:lpstr>World!share_of_electricity_produced_from_oil_over_total_fossil_electricity_2015</vt:lpstr>
      <vt:lpstr>Global!share_of_variable_res</vt:lpstr>
      <vt:lpstr>Europe!share_pes_biogas_for_chp_plants</vt:lpstr>
      <vt:lpstr>'Quebec untouched'!share_pes_biogas_for_chp_plants</vt:lpstr>
      <vt:lpstr>World!share_pes_biogas_for_chp_plants</vt:lpstr>
      <vt:lpstr>Europe!share_pes_biogas_for_elec_plants</vt:lpstr>
      <vt:lpstr>'Quebec untouched'!share_pes_biogas_for_elec_plants</vt:lpstr>
      <vt:lpstr>World!share_pes_biogas_for_elec_plants</vt:lpstr>
      <vt:lpstr>Europe!share_pes_biogas_for_heat_plants</vt:lpstr>
      <vt:lpstr>'Quebec untouched'!share_pes_biogas_for_heat_plants</vt:lpstr>
      <vt:lpstr>World!share_pes_biogas_for_heat_plants</vt:lpstr>
      <vt:lpstr>Europe!share_pes_biogas_tfc</vt:lpstr>
      <vt:lpstr>'Quebec untouched'!share_pes_biogas_tfc</vt:lpstr>
      <vt:lpstr>World!share_pes_biogas_tfc</vt:lpstr>
      <vt:lpstr>Europe!share_pes_waste_for_chp</vt:lpstr>
      <vt:lpstr>'Quebec untouched'!share_pes_waste_for_chp</vt:lpstr>
      <vt:lpstr>World!share_pes_waste_for_chp</vt:lpstr>
      <vt:lpstr>Europe!share_pes_waste_for_elec_plants</vt:lpstr>
      <vt:lpstr>'Quebec untouched'!share_pes_waste_for_elec_plants</vt:lpstr>
      <vt:lpstr>World!share_pes_waste_for_elec_plants</vt:lpstr>
      <vt:lpstr>Europe!share_pes_waste_for_heat_plants</vt:lpstr>
      <vt:lpstr>'Quebec untouched'!share_pes_waste_for_heat_plants</vt:lpstr>
      <vt:lpstr>World!share_pes_waste_for_heat_plants</vt:lpstr>
      <vt:lpstr>Europe!share_pes_waste_tfc</vt:lpstr>
      <vt:lpstr>'Quebec untouched'!share_pes_waste_tfc</vt:lpstr>
      <vt:lpstr>World!share_pes_waste_tfc</vt:lpstr>
      <vt:lpstr>Europe!share_trad_biomass_vs_solids_in_households</vt:lpstr>
      <vt:lpstr>'Quebec untouched'!share_trad_biomass_vs_solids_in_households</vt:lpstr>
      <vt:lpstr>World!share_trad_biomass_vs_solids_in_households</vt:lpstr>
      <vt:lpstr>Global!share_transm_and_distribution_elec_losses_initial</vt:lpstr>
      <vt:lpstr>Europe!share_unconv_vs_agg_gas_in_2050</vt:lpstr>
      <vt:lpstr>'Quebec untouched'!share_unconv_vs_agg_gas_in_2050</vt:lpstr>
      <vt:lpstr>World!share_unconv_vs_agg_gas_in_2050</vt:lpstr>
      <vt:lpstr>Europe!share_unconv_vs_agg_oil_in_2050</vt:lpstr>
      <vt:lpstr>'Quebec untouched'!share_unconv_vs_agg_oil_in_2050</vt:lpstr>
      <vt:lpstr>World!share_unconv_vs_agg_oil_in_2050</vt:lpstr>
      <vt:lpstr>Europe!start_production_biofuels</vt:lpstr>
      <vt:lpstr>'Quebec untouched'!start_production_biofuels</vt:lpstr>
      <vt:lpstr>World!start_production_biofuels</vt:lpstr>
      <vt:lpstr>Global!Time</vt:lpstr>
      <vt:lpstr>Europe!time_efficiencies</vt:lpstr>
      <vt:lpstr>'Quebec untouched'!time_efficiencies</vt:lpstr>
      <vt:lpstr>World!time_efficiencies</vt:lpstr>
      <vt:lpstr>Europe!time_historic_data</vt:lpstr>
      <vt:lpstr>'Quebec untouched'!time_historic_data</vt:lpstr>
      <vt:lpstr>World!time_historic_data</vt:lpstr>
      <vt:lpstr>Europe!URR_agg_gas</vt:lpstr>
      <vt:lpstr>'Quebec untouched'!URR_agg_gas</vt:lpstr>
      <vt:lpstr>World!URR_agg_gas</vt:lpstr>
      <vt:lpstr>Europe!URR_agg_oil</vt:lpstr>
      <vt:lpstr>'Quebec untouched'!URR_agg_oil</vt:lpstr>
      <vt:lpstr>World!URR_agg_oil</vt:lpstr>
      <vt:lpstr>Europe!URR_coal</vt:lpstr>
      <vt:lpstr>'Quebec untouched'!URR_coal</vt:lpstr>
      <vt:lpstr>World!URR_coal</vt:lpstr>
      <vt:lpstr>Europe!URR_conv_gas</vt:lpstr>
      <vt:lpstr>'Quebec untouched'!URR_conv_gas</vt:lpstr>
      <vt:lpstr>World!URR_conv_gas</vt:lpstr>
      <vt:lpstr>Europe!URR_conv_oil</vt:lpstr>
      <vt:lpstr>'Quebec untouched'!URR_conv_oil</vt:lpstr>
      <vt:lpstr>World!URR_conv_oil</vt:lpstr>
      <vt:lpstr>Europe!URR_unconv_gas</vt:lpstr>
      <vt:lpstr>'Quebec untouched'!URR_unconv_gas</vt:lpstr>
      <vt:lpstr>World!URR_unconv_gas</vt:lpstr>
      <vt:lpstr>Europe!URR_unconv_oil</vt:lpstr>
      <vt:lpstr>'Quebec untouched'!URR_unconv_oil</vt:lpstr>
      <vt:lpstr>World!URR_unconv_oil</vt:lpstr>
      <vt:lpstr>Europe!URR_uranium</vt:lpstr>
      <vt:lpstr>'Quebec untouched'!URR_uranium</vt:lpstr>
      <vt:lpstr>World!URR_uranium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Étienne Guertin</cp:lastModifiedBy>
  <dcterms:created xsi:type="dcterms:W3CDTF">2021-10-20T13:04:35Z</dcterms:created>
  <dcterms:modified xsi:type="dcterms:W3CDTF">2026-05-31T19:02:55Z</dcterms:modified>
</cp:coreProperties>
</file>